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Executive_Summary" sheetId="1" state="visible" r:id="rId3"/>
    <sheet name="Regional_Profiles" sheetId="2" state="visible" r:id="rId4"/>
    <sheet name="Dimension_Scores" sheetId="3" state="visible" r:id="rId5"/>
    <sheet name="Identity_Scoring" sheetId="4" state="visible" r:id="rId6"/>
    <sheet name="Descriptive_Stats" sheetId="5" state="visible" r:id="rId7"/>
    <sheet name="Correlation_Regression" sheetId="6" state="visible" r:id="rId8"/>
    <sheet name="Weight_Sensitivity" sheetId="7" state="visible" r:id="rId9"/>
    <sheet name="Forecast_Evaluation" sheetId="8" state="visible" r:id="rId10"/>
    <sheet name="Forecast_Generalization" sheetId="9" state="visible" r:id="rId11"/>
    <sheet name="Forecast_Data" sheetId="10" state="visible" r:id="rId12"/>
    <sheet name="Budget_Allocation" sheetId="11" state="visible" r:id="rId13"/>
    <sheet name="Digital_Signals_Summary" sheetId="12" state="visible" r:id="rId14"/>
    <sheet name="Data_Quality" sheetId="13" state="visible" r:id="rId15"/>
    <sheet name="Methodology" sheetId="14" state="visible" r:id="rId16"/>
    <sheet name="Raw_DB1_D1_D5" sheetId="15" state="visible" r:id="rId17"/>
    <sheet name="Raw_DB2_D6_D10" sheetId="16" state="visible" r:id="rId18"/>
    <sheet name="DB2_Indicator_Metadata" sheetId="17" state="visible" r:id="rId19"/>
    <sheet name="Tableau_TimeSeries" sheetId="18" state="visible" r:id="rId20"/>
    <sheet name="Tableau_DigitalReadiness" sheetId="19" state="visible" r:id="rId21"/>
    <sheet name="DB4_Booking" sheetId="20" state="visible" r:id="rId22"/>
    <sheet name="DB4_Sentiment" sheetId="21" state="visible" r:id="rId23"/>
    <sheet name="DB4_IoT" sheetId="22" state="visible" r:id="rId24"/>
    <sheet name="DB4_MobileFlow" sheetId="23" state="visible" r:id="rId25"/>
    <sheet name="Sources" sheetId="24" state="visible" r:id="rId26"/>
    <sheet name="Version_Notes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<sst xmlns="http://schemas.openxmlformats.org/spreadsheetml/2006/main" count="9299" uniqueCount="1450">
  <si>
    <t xml:space="preserve">Chile Regional Tourism Competitiveness: Decision Dashboard</t>
  </si>
  <si>
    <t xml:space="preserve">15-region legacy analytical frame | Prepared from DB1–DB5| v2: identities for Metropolitana, Aysén and Magallanes revised (see Identity_Scoring)</t>
  </si>
  <si>
    <t xml:space="preserve">Code</t>
  </si>
  <si>
    <t xml:space="preserve">Region</t>
  </si>
  <si>
    <t xml:space="preserve">Priority Tier</t>
  </si>
  <si>
    <t xml:space="preserve">Primary Identity</t>
  </si>
  <si>
    <t xml:space="preserve">Secondary Identity</t>
  </si>
  <si>
    <t xml:space="preserve">Traveler Segment</t>
  </si>
  <si>
    <t xml:space="preserve">Historical Composite</t>
  </si>
  <si>
    <t xml:space="preserve">Asset Score</t>
  </si>
  <si>
    <t xml:space="preserve">Enabler Score</t>
  </si>
  <si>
    <t xml:space="preserve">Recent Demand</t>
  </si>
  <si>
    <t xml:space="preserve">Digital Readiness</t>
  </si>
  <si>
    <t xml:space="preserve">Priority Score</t>
  </si>
  <si>
    <t xml:space="preserve">Latest Occupancy %</t>
  </si>
  <si>
    <t xml:space="preserve">Intl Recovery %</t>
  </si>
  <si>
    <t xml:space="preserve">XV</t>
  </si>
  <si>
    <t xml:space="preserve">Arica y Parinacota</t>
  </si>
  <si>
    <t xml:space="preserve">Wait</t>
  </si>
  <si>
    <t xml:space="preserve">Community &amp; Indigenous</t>
  </si>
  <si>
    <t xml:space="preserve">Culture &amp; Heritage</t>
  </si>
  <si>
    <t xml:space="preserve">responsible cultural and community-based travelers; culture-led city-break and heritage travelers</t>
  </si>
  <si>
    <t xml:space="preserve">I</t>
  </si>
  <si>
    <t xml:space="preserve">Tarapacá</t>
  </si>
  <si>
    <t xml:space="preserve">Wellness &amp; Thermal</t>
  </si>
  <si>
    <t xml:space="preserve">Astro &amp; Desert</t>
  </si>
  <si>
    <t xml:space="preserve">wellness, thermal and regional leisure travelers; experience-seeking, astronomy and photography travelers</t>
  </si>
  <si>
    <t xml:space="preserve">II</t>
  </si>
  <si>
    <t xml:space="preserve">Antofagasta</t>
  </si>
  <si>
    <t xml:space="preserve">Prepare First</t>
  </si>
  <si>
    <t xml:space="preserve">experience-seeking, astronomy and photography travelers; culture-led city-break and heritage travelers</t>
  </si>
  <si>
    <t xml:space="preserve">III</t>
  </si>
  <si>
    <t xml:space="preserve">Atacama</t>
  </si>
  <si>
    <t xml:space="preserve">Coastal &amp; Cruise</t>
  </si>
  <si>
    <t xml:space="preserve">experience-seeking, astronomy and photography travelers; coastal leisure, cruise and family travelers</t>
  </si>
  <si>
    <t xml:space="preserve">IV</t>
  </si>
  <si>
    <t xml:space="preserve">Coquimbo</t>
  </si>
  <si>
    <t xml:space="preserve">Scale Now</t>
  </si>
  <si>
    <t xml:space="preserve">coastal leisure, cruise and family travelers; experience-seeking, astronomy and photography travelers</t>
  </si>
  <si>
    <t xml:space="preserve">V</t>
  </si>
  <si>
    <t xml:space="preserve">Valparaíso</t>
  </si>
  <si>
    <t xml:space="preserve">coastal leisure, cruise and family travelers; culture-led city-break and heritage travelers</t>
  </si>
  <si>
    <t xml:space="preserve">RM</t>
  </si>
  <si>
    <t xml:space="preserve">Metropolitana</t>
  </si>
  <si>
    <t xml:space="preserve">Winter &amp; Mountain</t>
  </si>
  <si>
    <t xml:space="preserve">culture-led city-break and heritage travelers; winter-sports and mountain-adventure travelers</t>
  </si>
  <si>
    <t xml:space="preserve">VI</t>
  </si>
  <si>
    <t xml:space="preserve">O'Higgins</t>
  </si>
  <si>
    <t xml:space="preserve">Wine &amp; Gastronomy</t>
  </si>
  <si>
    <t xml:space="preserve">affluent culinary and wine travelers; culture-led city-break and heritage travelers</t>
  </si>
  <si>
    <t xml:space="preserve">VII</t>
  </si>
  <si>
    <t xml:space="preserve">Maule</t>
  </si>
  <si>
    <t xml:space="preserve">wellness, thermal and regional leisure travelers; winter-sports and mountain-adventure travelers</t>
  </si>
  <si>
    <t xml:space="preserve">VIII</t>
  </si>
  <si>
    <t xml:space="preserve">Biobío</t>
  </si>
  <si>
    <t xml:space="preserve">IX</t>
  </si>
  <si>
    <t xml:space="preserve">Araucanía</t>
  </si>
  <si>
    <t xml:space="preserve">XIV</t>
  </si>
  <si>
    <t xml:space="preserve">Los Ríos</t>
  </si>
  <si>
    <t xml:space="preserve">Nature &amp; Adventure</t>
  </si>
  <si>
    <t xml:space="preserve">wellness, thermal and regional leisure travelers; eco-conscious adventure and longer-stay travelers</t>
  </si>
  <si>
    <t xml:space="preserve">X</t>
  </si>
  <si>
    <t xml:space="preserve">Los Lagos</t>
  </si>
  <si>
    <t xml:space="preserve">coastal leisure, cruise and family travelers; eco-conscious adventure and longer-stay travelers</t>
  </si>
  <si>
    <t xml:space="preserve">XI</t>
  </si>
  <si>
    <t xml:space="preserve">Aysén</t>
  </si>
  <si>
    <t xml:space="preserve">eco-conscious adventure and longer-stay travelers; winter-sports and mountain-adventure travelers</t>
  </si>
  <si>
    <t xml:space="preserve">XII</t>
  </si>
  <si>
    <t xml:space="preserve">Magallanes y Antártica</t>
  </si>
  <si>
    <t xml:space="preserve">eco-conscious adventure and longer-stay travelers; expedition-cruise and Antarctic-gateway travelers</t>
  </si>
  <si>
    <t xml:space="preserve">Regional Positioning and Action Logic</t>
  </si>
  <si>
    <t xml:space="preserve">v2: yellow cells mark revised identities (Metropolitana, Aysén, Magallanes). Rationale and data ranks in Identity_Scoring.</t>
  </si>
  <si>
    <t xml:space="preserve">Tier</t>
  </si>
  <si>
    <t xml:space="preserve">Identity 1</t>
  </si>
  <si>
    <t xml:space="preserve">Identity 2</t>
  </si>
  <si>
    <t xml:space="preserve">Target Traveler</t>
  </si>
  <si>
    <t xml:space="preserve">Top Dimensional Strengths</t>
  </si>
  <si>
    <t xml:space="preserve">Main Dimensional Gaps</t>
  </si>
  <si>
    <t xml:space="preserve">Latest 4Q Arrivals</t>
  </si>
  <si>
    <t xml:space="preserve">Latest ADR USD</t>
  </si>
  <si>
    <t xml:space="preserve">Recommended Action</t>
  </si>
  <si>
    <t xml:space="preserve">D8 52, D7 50</t>
  </si>
  <si>
    <t xml:space="preserve">D10 6, D6 17</t>
  </si>
  <si>
    <t xml:space="preserve">Do not prioritize near-term promotion; validate product-market fit and close governance/service gaps first.</t>
  </si>
  <si>
    <t xml:space="preserve">D7 49, D8 40</t>
  </si>
  <si>
    <t xml:space="preserve">D9 12, D1 15</t>
  </si>
  <si>
    <t xml:space="preserve">D8 66, D7 50</t>
  </si>
  <si>
    <t xml:space="preserve">D10 22, D1 24</t>
  </si>
  <si>
    <t xml:space="preserve">Fund foundational workforce, service, mobility, digital or safety gaps before broad promotion.</t>
  </si>
  <si>
    <t xml:space="preserve">D7 53, D8 46</t>
  </si>
  <si>
    <t xml:space="preserve">D1 10, D5 15</t>
  </si>
  <si>
    <t xml:space="preserve">D7 59, D10 51</t>
  </si>
  <si>
    <t xml:space="preserve">D6 15, D5 18</t>
  </si>
  <si>
    <t xml:space="preserve">Scale promotion and investment now, but pair growth with capacity and sustainability safeguards.</t>
  </si>
  <si>
    <t xml:space="preserve">D7 60, D8 53</t>
  </si>
  <si>
    <t xml:space="preserve">D9 30, D10 33</t>
  </si>
  <si>
    <t xml:space="preserve">D3 62, D4 62</t>
  </si>
  <si>
    <t xml:space="preserve">D2 17, D9 33</t>
  </si>
  <si>
    <t xml:space="preserve">D7 64, D8 55</t>
  </si>
  <si>
    <t xml:space="preserve">D5 8, D4 12</t>
  </si>
  <si>
    <t xml:space="preserve">D7 61, D8 50</t>
  </si>
  <si>
    <t xml:space="preserve">D4 13, D3 15</t>
  </si>
  <si>
    <t xml:space="preserve">D10 80, D7 66</t>
  </si>
  <si>
    <t xml:space="preserve">D4 17, D6 20</t>
  </si>
  <si>
    <t xml:space="preserve">D7 60, D2 56</t>
  </si>
  <si>
    <t xml:space="preserve">D9 13, D3 21</t>
  </si>
  <si>
    <t xml:space="preserve">D7 65, D8 49</t>
  </si>
  <si>
    <t xml:space="preserve">D1 10, D5 12</t>
  </si>
  <si>
    <t xml:space="preserve">D8 70, D7 65</t>
  </si>
  <si>
    <t xml:space="preserve">D1 20, D3 27</t>
  </si>
  <si>
    <t xml:space="preserve">D8 65, D2 58</t>
  </si>
  <si>
    <t xml:space="preserve">D1 6, D4 14</t>
  </si>
  <si>
    <t xml:space="preserve">D7 66, D8 53</t>
  </si>
  <si>
    <t xml:space="preserve">D10 10, D1 13</t>
  </si>
  <si>
    <t xml:space="preserve">Normalized Dimension Scores (0-100)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</si>
  <si>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</si>
  <si>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</si>
  <si>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</si>
  <si>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</si>
  <si>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</si>
  <si>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</si>
  <si>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</si>
  <si>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</si>
  <si>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</si>
  <si>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</si>
  <si>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Overall</t>
  </si>
  <si>
    <t xml:space="preserve">Asset (D1–D2)</t>
  </si>
  <si>
    <t xml:space="preserve">Enabler (D3–D10)</t>
  </si>
  <si>
    <t xml:space="preserve">Cultural Heritage &amp; Events</t>
  </si>
  <si>
    <t xml:space="preserve">Natural Resources &amp; Sustainability</t>
  </si>
  <si>
    <t xml:space="preserve">Human Resources &amp; Workforce</t>
  </si>
  <si>
    <t xml:space="preserve">Tourism Infrastructure</t>
  </si>
  <si>
    <t xml:space="preserve">Mobility &amp; Transportation</t>
  </si>
  <si>
    <t xml:space="preserve">Tourism-Related Services</t>
  </si>
  <si>
    <t xml:space="preserve">Security &amp; Safety</t>
  </si>
  <si>
    <t xml:space="preserve">Economic Performance</t>
  </si>
  <si>
    <t xml:space="preserve">Tourism Promotion</t>
  </si>
  <si>
    <t xml:space="preserve">Governmental Involvement &amp; Efficiency</t>
  </si>
  <si>
    <t xml:space="preserve">Tourism Identity Scoring: Indicator Evidence per Region (0–100)</t>
  </si>
  <si>
    <t xml:space="preserve">Each identity score = mean of min–max-normalised DB1/DB2 indicators mapped to that identity (mapping below). Final calls apply documented judgment where indicators are ambiguous.</t>
  </si>
  <si>
    <t xml:space="preserve">Data rank 1</t>
  </si>
  <si>
    <t xml:space="preserve">Score</t>
  </si>
  <si>
    <t xml:space="preserve">Data rank 2</t>
  </si>
  <si>
    <t xml:space="preserve">Data rank 3</t>
  </si>
  <si>
    <t xml:space="preserve">Final primary</t>
  </si>
  <si>
    <t xml:space="preserve">Final secondary</t>
  </si>
  <si>
    <t xml:space="preserve">Changed vs v1</t>
  </si>
  <si>
    <t xml:space="preserve">Rationale</t>
  </si>
  <si>
    <t xml:space="preserve">Target traveler</t>
  </si>
  <si>
    <t xml:space="preserve">No</t>
  </si>
  <si>
    <t xml:space="preserve">Highest data rank; 25% of population identifies as indigenous and 30 archaeological sites (most in Chile) justify a heritage secondary.</t>
  </si>
  <si>
    <t xml:space="preserve">Follows data rank (thermal 26.5, astro 23.7); both niches are thin in absolute terms, consistent with the Wait tier.</t>
  </si>
  <si>
    <t xml:space="preserve">Primary follows data (56.6). Secondary overrides 'Winter &amp; Mountain' (volcano count) in favour of 37 historical sites and 16 museums.</t>
  </si>
  <si>
    <t xml:space="preserve">Primary follows data (45.8). Coastal (22.6) and wine (22.7) tie; 17 beaches and 10 piers make coastal the credible product.</t>
  </si>
  <si>
    <t xml:space="preserve">Primary follows data (51.7). Secondary overrides 'Community' in favour of astro: 7 observatory-type sites, the most in Chile.</t>
  </si>
  <si>
    <t xml:space="preserve">Wine &amp; Gastronomy ranks first (77) on restaurant density; we keep coastal/cruise (31 cruise calls, 59 beaches) and heritage (161 monuments, 2 WHS) and treat wine as a third pillar.</t>
  </si>
  <si>
    <t xml:space="preserve">Yes</t>
  </si>
  <si>
    <t xml:space="preserve">REVISED: data rank Culture 59 vs Winter 48 (35 museums, 404 monuments). Winter stays secondary: 5 ski resorts, the most in Chile.</t>
  </si>
  <si>
    <t xml:space="preserve">Primary follows data (52.9); Community (31.2) and Culture (29.9) tie, heritage chosen for the Sewell/Colchagua museum cluster.</t>
  </si>
  <si>
    <t xml:space="preserve">Follows data rank (39.6 vs 39.5). Wine (27) is under-recorded in DB2 (2 vineyards) and should be validated as a third pillar.</t>
  </si>
  <si>
    <t xml:space="preserve">Data rank 'Astro &amp; Desert' (33) is an artefact of the paleontology indicator; 20 museums and 23 historical sites support heritage.</t>
  </si>
  <si>
    <t xml:space="preserve">Follows data rank (100 / 62.5); nature (60) and Mapuche community tourism (59) are strong third options.</t>
  </si>
  <si>
    <t xml:space="preserve">Follows data rank (61.1 / 21.1).</t>
  </si>
  <si>
    <t xml:space="preserve">Follows data rank (73.7 / 54.3): 28 cruise calls, 31 islands, 487k protected-area visitors.</t>
  </si>
  <si>
    <t xml:space="preserve">REVISED: data rank Nature 67 vs Winter 61; the winter score is driven by the 'glaciers &amp; winter locations' indicator, a nature asset. One ski resort only.</t>
  </si>
  <si>
    <t xml:space="preserve">REVISED: 57% protected land (highest) and 284k protected-area visitors; 18 cruise calls (Antarctic gateway). Winter score (61) is inflated by 20 glacier sites; one ski resort.</t>
  </si>
  <si>
    <t xml:space="preserve">Identity</t>
  </si>
  <si>
    <t xml:space="preserve">DB1/DB2 indicators used (equal weights within identity)</t>
  </si>
  <si>
    <t xml:space="preserve">National protected sites (%); hiking trails; visitors to protected sites; rivers, lakes &amp; waterfalls; natural protected sites L2/L3; biosphere reserves; % forest land; glaciers &amp; winter locations; mountains &amp; volcanoes; preserved sites</t>
  </si>
  <si>
    <t xml:space="preserve">World cultural heritage sites; museums; national monuments; historical sites; archaeological sites; cultural centers; theaters; theater plays; galleries; exhibits; artistic events; cultural sites L2/L3; heritage architectural houses; artwork sites; % population attending museums</t>
  </si>
  <si>
    <t xml:space="preserve">Number of vineyards; valleys; density of restaurants; restaurant employment per 10,000</t>
  </si>
  <si>
    <t xml:space="preserve">Thermal centers (DB2); geysers &amp; thermal centers (DB1); spas</t>
  </si>
  <si>
    <t xml:space="preserve">Observatories/zoos/aquaria/botanical gardens; deserts &amp; dunes; paleontology sites</t>
  </si>
  <si>
    <t xml:space="preserve">Ski resorts; mountains &amp; volcanoes; glaciers &amp; winter locations</t>
  </si>
  <si>
    <t xml:space="preserve">Beaches &amp; beach resorts; piers &amp; seashores; cruise arrivals per year; islands &amp; peninsulas; seashore protected sites</t>
  </si>
  <si>
    <t xml:space="preserve">% population associated to an indigenous group; local markets; cultural sites L1 (local); popular architecture sites; cultural events scheduled through the year</t>
  </si>
  <si>
    <t xml:space="preserve">Known ambiguity: 'Glaciers and winter vacation locations' mixes a nature asset (glaciers) with a winter-sports asset; it is counted in both identities, which is why Aysén and Magallanes score high on Winter &amp; Mountain although each has a single ski resort. Missing indicator values are median-imputed before normalisation.</t>
  </si>
  <si>
    <t xml:space="preserve">Descriptive Statistics: Demand Panel (DB3), Dimension Scores and Digital Readiness (DB5)</t>
  </si>
  <si>
    <t xml:space="preserve">All cells are live formulas on Tableau_TimeSeries (cleaned DB3), Dimension_Scores and Tableau_DigitalReadiness. Latest 4Q = 2024-Q4 to 2025-Q3.</t>
  </si>
  <si>
    <t xml:space="preserve">Period</t>
  </si>
  <si>
    <t xml:space="preserve">International arrivals</t>
  </si>
  <si>
    <t xml:space="preserve">National arrivals</t>
  </si>
  <si>
    <t xml:space="preserve">Total arrivals</t>
  </si>
  <si>
    <t xml:space="preserve">Avg occupancy %</t>
  </si>
  <si>
    <t xml:space="preserve">Avg daily rate USD</t>
  </si>
  <si>
    <t xml:space="preserve">Avg length of stay</t>
  </si>
  <si>
    <t xml:space="preserve">Intl vs 2019 (%)</t>
  </si>
  <si>
    <t xml:space="preserve">National vs 2019 (%)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</si>
  <si>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</si>
  <si>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</si>
  <si>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</si>
  <si>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</si>
  <si>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</si>
  <si>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</si>
  <si>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Latest 4Q (2024-Q4–2025-Q3)</t>
  </si>
  <si>
    <t xml:space="preserve">2025 covers Q1–Q3 only (27-quarter panel). Occupancy and ADR averages skip missing cells and the invalid Araucanía 2022-Q4 occupancy (104.5%, set to missing).</t>
  </si>
  <si>
    <t xml:space="preserve">Intl arrivals latest 4Q</t>
  </si>
  <si>
    <t xml:space="preserve">National arrivals latest 4Q</t>
  </si>
  <si>
    <t xml:space="preserve">Avg occupancy % latest 4Q</t>
  </si>
  <si>
    <t xml:space="preserve">Avg daily rate USD latest 4Q</t>
  </si>
  <si>
    <t xml:space="preserve">Intl arrivals 2019</t>
  </si>
  <si>
    <t xml:space="preserve">Intl recovery % (latest 4Q / 2019)</t>
  </si>
  <si>
    <t xml:space="preserve">National recovery %</t>
  </si>
  <si>
    <t xml:space="preserve">International share %</t>
  </si>
  <si>
    <t xml:space="preserve">Dimension</t>
  </si>
  <si>
    <t xml:space="preserve">Mean</t>
  </si>
  <si>
    <t xml:space="preserve">Std dev</t>
  </si>
  <si>
    <t xml:space="preserve">Min</t>
  </si>
  <si>
    <t xml:space="preserve">Max</t>
  </si>
  <si>
    <t xml:space="preserve">Coefficient of variation</t>
  </si>
  <si>
    <t xml:space="preserve">Top region</t>
  </si>
  <si>
    <t xml:space="preserve">Bottom region</t>
  </si>
  <si>
    <t xml:space="preserve">D1 Cultural Heritage &amp; Events</t>
  </si>
  <si>
    <t xml:space="preserve">D2 Natural Resources &amp; Sustainability</t>
  </si>
  <si>
    <t xml:space="preserve">D3 Human Resources &amp; Workforce</t>
  </si>
  <si>
    <t xml:space="preserve">D4 Tourism Infrastructure</t>
  </si>
  <si>
    <t xml:space="preserve">D5 Mobility &amp; Transportation</t>
  </si>
  <si>
    <t xml:space="preserve">D6 Tourism-Related Services</t>
  </si>
  <si>
    <t xml:space="preserve">D7 Security &amp; Safety</t>
  </si>
  <si>
    <t xml:space="preserve">D8 Economic Performance</t>
  </si>
  <si>
    <t xml:space="preserve">D9 Tourism Promotion</t>
  </si>
  <si>
    <t xml:space="preserve">D10 Governmental Involvement &amp; Efficiency</t>
  </si>
  <si>
    <t xml:space="preserve">Reading: Security &amp; Safety (D7) barely differentiates regions (CV ≈ 0.11) while Governmental Involvement (D10) differentiates most (CV ≈ 0.66); Metropolitana tops five of ten dimensions but is last on Natural Resources (D2).</t>
  </si>
  <si>
    <t xml:space="preserve">DB3 metric (405 region-quarters)</t>
  </si>
  <si>
    <t xml:space="preserve">Count</t>
  </si>
  <si>
    <t xml:space="preserve">Median</t>
  </si>
  <si>
    <t xml:space="preserve">Average daily rate (USD)</t>
  </si>
  <si>
    <t xml:space="preserve">Occupancy rate (%)</t>
  </si>
  <si>
    <t xml:space="preserve">Length of stay (nights)</t>
  </si>
  <si>
    <t xml:space="preserve">DB5 metric (15 regions, 2025)</t>
  </si>
  <si>
    <t xml:space="preserve">Fixed broadband penetration %</t>
  </si>
  <si>
    <t xml:space="preserve">Mobile 4G/5G coverage %</t>
  </si>
  <si>
    <t xml:space="preserve">E-commerce adoption % SMEs</t>
  </si>
  <si>
    <t xml:space="preserve">Digital payments adoption %</t>
  </si>
  <si>
    <t xml:space="preserve">AI/analytics maturity (1–5)</t>
  </si>
  <si>
    <t xml:space="preserve">Tourism-tech startups</t>
  </si>
  <si>
    <t xml:space="preserve">R&amp;D investment (USD M)</t>
  </si>
  <si>
    <t xml:space="preserve">Digital tourism platforms listed</t>
  </si>
  <si>
    <t xml:space="preserve">AI workforce % of tourism workforce</t>
  </si>
  <si>
    <t xml:space="preserve">Cross-Regional Correlation and Regression Diagnostics</t>
  </si>
  <si>
    <t xml:space="preserve">Metric</t>
  </si>
  <si>
    <t xml:space="preserve">Recent Demand Score</t>
  </si>
  <si>
    <t xml:space="preserve">Digital Readiness Score</t>
  </si>
  <si>
    <t xml:space="preserve">Regression</t>
  </si>
  <si>
    <t xml:space="preserve">Coefficient</t>
  </si>
  <si>
    <t xml:space="preserve">Interpretation</t>
  </si>
  <si>
    <t xml:space="preserve">Caution</t>
  </si>
  <si>
    <t xml:space="preserve">Intercept</t>
  </si>
  <si>
    <t xml:space="preserve">Baseline term</t>
  </si>
  <si>
    <t xml:space="preserve">n=15; descriptive association only</t>
  </si>
  <si>
    <t xml:space="preserve">Marginal association with Recent Demand Score</t>
  </si>
  <si>
    <t xml:space="preserve">Not causal</t>
  </si>
  <si>
    <t xml:space="preserve">R-squared</t>
  </si>
  <si>
    <t xml:space="preserve">Share of cross-sectional variation explained in-sample</t>
  </si>
  <si>
    <t xml:space="preserve">High overfit risk with small sample</t>
  </si>
  <si>
    <t xml:space="preserve">OLS inference (Recent Demand ~ Asset + Enabler + Digital)</t>
  </si>
  <si>
    <t xml:space="preserve">Std. error</t>
  </si>
  <si>
    <t xml:space="preserve">t</t>
  </si>
  <si>
    <t xml:space="preserve">p-value</t>
  </si>
  <si>
    <t xml:space="preserve">Reading</t>
  </si>
  <si>
    <t xml:space="preserve">const</t>
  </si>
  <si>
    <t xml:space="preserve">Not significant (p ≈ 0.50): endowment alone does not predict current demand</t>
  </si>
  <si>
    <t xml:space="preserve">Not significant when digital readiness is included (p ≈ 0.95)</t>
  </si>
  <si>
    <t xml:space="preserve">Only significant predictor (p ≈ 0.004); +0.66 demand points per readiness point</t>
  </si>
  <si>
    <t xml:space="preserve">Model fit</t>
  </si>
  <si>
    <t xml:space="preserve">R² = 0.734</t>
  </si>
  <si>
    <t xml:space="preserve">Adj. R² = 0.661</t>
  </si>
  <si>
    <t xml:space="preserve">n = 15</t>
  </si>
  <si>
    <t xml:space="preserve">F-test p = 0.0017</t>
  </si>
  <si>
    <t xml:space="preserve">Cross-sectional association only; n = 15 gives 11 residual degrees of freedom, treat as directional, not causal.</t>
  </si>
  <si>
    <t xml:space="preserve">Bivariate check: Latest Occupancy % ~ Digital Readiness</t>
  </si>
  <si>
    <t xml:space="preserve">R² = 0.485: each readiness point associates with +0.11 occupancy points.</t>
  </si>
  <si>
    <t xml:space="preserve">Correlation and inference computed in Python (numpy/scipy OLS, classical standard errors) from the values in Executive_Summary; Priority Score is a weighted combination of three inputs, so its correlations are mechanical and not evidence.</t>
  </si>
  <si>
    <t xml:space="preserve">Priority-Score Weighting Sensitivity Check</t>
  </si>
  <si>
    <t xml:space="preserve">Base case (used throughout RfP 1/2): Priority = 0.50 x Historical Composite + 0.30 x Recent Demand + 0.20 x Digital Readiness. This sheet re-ranks all 15 regions under three alternative weight schemes to test how much the specific 50/30/20 choice drives the tier calls. All priority and rank columns are live formulas on Executive_Summary; nothing here is hand-typed.</t>
  </si>
  <si>
    <t xml:space="preserve">Current Tier</t>
  </si>
  <si>
    <t xml:space="preserve">Historical</t>
  </si>
  <si>
    <t xml:space="preserve">Demand</t>
  </si>
  <si>
    <t xml:space="preserve">Digital</t>
  </si>
  <si>
    <t xml:space="preserve">Priority 50/30/20 (base)</t>
  </si>
  <si>
    <t xml:space="preserve">Rank (base)</t>
  </si>
  <si>
    <t xml:space="preserve">Priority 40/40/20</t>
  </si>
  <si>
    <t xml:space="preserve">Rank (40/40/20)</t>
  </si>
  <si>
    <t xml:space="preserve">Priority 33/33/34 (equal)</t>
  </si>
  <si>
    <t xml:space="preserve">Rank (equal)</t>
  </si>
  <si>
    <t xml:space="preserve">Priority 60/20/20 (history-heavy)</t>
  </si>
  <si>
    <t xml:space="preserve">Rank (history-heavy)</t>
  </si>
  <si>
    <t xml:space="preserve">Rank range (max-min)</t>
  </si>
  <si>
    <t xml:space="preserve">Boundary-sensitive?</t>
  </si>
  <si>
    <t xml:space="preserve">Reading the check</t>
  </si>
  <si>
    <t xml:space="preserve">- Base weights (50/30/20) are chosen because the historical composite is the only source covering all 131 structural indicators, while Recent Demand and Digital Readiness are single-year signals that can move sharply on short-run noise; 50% keeps structure dominant without ignoring current conditions.</t>
  </si>
  <si>
    <t xml:space="preserve">- Result: rank order is materially stable in the middle of the distribution and at the very top and bottom, but three regions sit close enough to a tier cut line to be weight-sensitive - flagged 'Yes' below.</t>
  </si>
  <si>
    <t xml:space="preserve">- This does not change the recommended tiers; it tells the Ministry which calls are robust (act with confidence) and which are closer judgment calls worth a second look before locking budget (see flagged rows).</t>
  </si>
  <si>
    <t xml:space="preserve">Out-of-Sample Forecast Evaluation (4-quarter holdout)</t>
  </si>
  <si>
    <t xml:space="preserve">Actual</t>
  </si>
  <si>
    <t xml:space="preserve">Seasonal Regression</t>
  </si>
  <si>
    <t xml:space="preserve">Seasonal Naive</t>
  </si>
  <si>
    <t xml:space="preserve">Squared Error Model</t>
  </si>
  <si>
    <t xml:space="preserve">Squared Error Baseline</t>
  </si>
  <si>
    <t xml:space="preserve">Model Wins?</t>
  </si>
  <si>
    <t xml:space="preserve">international_arrivals</t>
  </si>
  <si>
    <t xml:space="preserve">2024-Q4</t>
  </si>
  <si>
    <t xml:space="preserve">2025-Q1</t>
  </si>
  <si>
    <t xml:space="preserve">2025-Q2</t>
  </si>
  <si>
    <t xml:space="preserve">2025-Q3</t>
  </si>
  <si>
    <t xml:space="preserve">occupancy_rate_pct</t>
  </si>
  <si>
    <t xml:space="preserve">Model RMSE</t>
  </si>
  <si>
    <t xml:space="preserve">Baseline RMSE</t>
  </si>
  <si>
    <t xml:space="preserve">RMSE Reduction</t>
  </si>
  <si>
    <t xml:space="preserve">Sensitivity</t>
  </si>
  <si>
    <t xml:space="preserve">Note</t>
  </si>
  <si>
    <t xml:space="preserve">Excluding 2025-Q1 outlier (86.2%)</t>
  </si>
  <si>
    <t xml:space="preserve">Model still beats the baseline without the outlier quarter; both errors fall to ≈3–4 points.</t>
  </si>
  <si>
    <t xml:space="preserve">Training window</t>
  </si>
  <si>
    <t xml:space="preserve">Both</t>
  </si>
  <si>
    <t xml:space="preserve">—</t>
  </si>
  <si>
    <t xml:space="preserve">11 quarters (2022-Q1–2024-Q3)</t>
  </si>
  <si>
    <t xml:space="preserve">4 holdout quarters</t>
  </si>
  <si>
    <t xml:space="preserve">5 parameters</t>
  </si>
  <si>
    <t xml:space="preserve">Intercept + linear trend + 3 quarter dummies; arrivals modelled in logs. Residual df = 6, a deliberately simple, transparent specification.</t>
  </si>
  <si>
    <t xml:space="preserve">See Forecast_Generalization for the same test on all 15 regions × 3 metrics: the model beats the seasonal-naive baseline in 19 of 45 cases (5 of 15 among Scale Now regions), so it is kept as a challenger, not an automatic replacement.</t>
  </si>
  <si>
    <t xml:space="preserve">Forecast Generalisation: Seasonal-Trend Regression vs Seasonal-Naive Baseline, 45 Region × Metric Tests</t>
  </si>
  <si>
    <t xml:space="preserve">Same protocol for every series: train 2022-Q1–2024-Q3 (11 quarters), test 2024-Q4–2025-Q3 (4 quarters), RMSE on the holdout. Reduction = 1 − model RMSE / naive RMSE (positive = model better).</t>
  </si>
  <si>
    <t xml:space="preserve">Naive RMSE</t>
  </si>
  <si>
    <t xml:space="preserve">RMSE reduction</t>
  </si>
  <si>
    <t xml:space="preserve">Model wins?</t>
  </si>
  <si>
    <t xml:space="preserve">Train quarters</t>
  </si>
  <si>
    <t xml:space="preserve">Test quarters</t>
  </si>
  <si>
    <t xml:space="preserve">avg_daily_rate_usd</t>
  </si>
  <si>
    <t xml:space="preserve">Summary</t>
  </si>
  <si>
    <t xml:space="preserve">Tests</t>
  </si>
  <si>
    <t xml:space="preserve">Model wins</t>
  </si>
  <si>
    <t xml:space="preserve">Win rate</t>
  </si>
  <si>
    <t xml:space="preserve">Median RMSE reduction</t>
  </si>
  <si>
    <t xml:space="preserve">All series</t>
  </si>
  <si>
    <t xml:space="preserve">Occupancy rate</t>
  </si>
  <si>
    <t xml:space="preserve">Average daily rate</t>
  </si>
  <si>
    <t xml:space="preserve">Scale Now regions only</t>
  </si>
  <si>
    <t xml:space="preserve">Headline model coefficients</t>
  </si>
  <si>
    <t xml:space="preserve">Series</t>
  </si>
  <si>
    <t xml:space="preserve">Trend per quarter</t>
  </si>
  <si>
    <t xml:space="preserve">Q2 effect</t>
  </si>
  <si>
    <t xml:space="preserve">Q3 effect</t>
  </si>
  <si>
    <t xml:space="preserve">Q4 effect</t>
  </si>
  <si>
    <t xml:space="preserve">Implied trend</t>
  </si>
  <si>
    <t xml:space="preserve">Holdout fit (2022-Q1–2024-Q3)</t>
  </si>
  <si>
    <t xml:space="preserve">Coquimbo international arrivals (log scale)</t>
  </si>
  <si>
    <t xml:space="preserve">+5.8% per quarter</t>
  </si>
  <si>
    <t xml:space="preserve">Production refit (2022-Q1–2025-Q3)</t>
  </si>
  <si>
    <t xml:space="preserve">+4.9% per quarter</t>
  </si>
  <si>
    <t xml:space="preserve">Valparaíso occupancy (points)</t>
  </si>
  <si>
    <t xml:space="preserve">+0.68 pts per quarter</t>
  </si>
  <si>
    <t xml:space="preserve">+0.98 pts per quarter</t>
  </si>
  <si>
    <t xml:space="preserve">Reading: the model helps most for average daily rate (steady price trends) and for some occupancy series; for international arrivals it usually over-extrapolates the post-pandemic recovery slope and loses to the same-quarter-last-year rule. Coquimbo arrivals is one of only two arrivals series where it wins, the memo says so explicitly. Median values in column E are computed in Python (conditional medians).</t>
  </si>
  <si>
    <t xml:space="preserve">Forecast Output for Tableau</t>
  </si>
  <si>
    <t xml:space="preserve">Forecast</t>
  </si>
  <si>
    <t xml:space="preserve">Horizon</t>
  </si>
  <si>
    <t xml:space="preserve">2025-Q4</t>
  </si>
  <si>
    <t xml:space="preserve">2025-Q4 to 2027-Q3</t>
  </si>
  <si>
    <t xml:space="preserve">2026-Q1</t>
  </si>
  <si>
    <t xml:space="preserve">2026-Q2</t>
  </si>
  <si>
    <t xml:space="preserve">2026-Q3</t>
  </si>
  <si>
    <t xml:space="preserve">2026-Q4</t>
  </si>
  <si>
    <t xml:space="preserve">2027-Q1</t>
  </si>
  <si>
    <t xml:space="preserve">2027-Q2</t>
  </si>
  <si>
    <t xml:space="preserve">2027-Q3</t>
  </si>
  <si>
    <t xml:space="preserve">USD 45M Regional Tourism Development Fund: Proposed Allocation</t>
  </si>
  <si>
    <t xml:space="preserve">Total USD M</t>
  </si>
  <si>
    <t xml:space="preserve">XC</t>
  </si>
  <si>
    <t xml:space="preserve">Cross-cutting: national predictive-monitoring &amp; data-governance pilot</t>
  </si>
  <si>
    <t xml:space="preserve">Cross-cutting</t>
  </si>
  <si>
    <t xml:space="preserve">TOTAL</t>
  </si>
  <si>
    <t xml:space="preserve">Subtotal by tier</t>
  </si>
  <si>
    <t xml:space="preserve">USD M</t>
  </si>
  <si>
    <t xml:space="preserve">Share of fund</t>
  </si>
  <si>
    <t xml:space="preserve">Subtotal by dimension</t>
  </si>
  <si>
    <t xml:space="preserve">Check</t>
  </si>
  <si>
    <t xml:space="preserve">Cross-cutting line: what the USD 1.5M buys</t>
  </si>
  <si>
    <t xml:space="preserve">IoT sensor network upkeep and expansion at the 10 monitored protected areas</t>
  </si>
  <si>
    <t xml:space="preserve">Shared data platform, data dictionary, Tableau operations and quarterly re-estimation</t>
  </si>
  <si>
    <t xml:space="preserve">Privacy, aggregation-threshold and model-risk audit (including mobile-flow governance)</t>
  </si>
  <si>
    <t xml:space="preserve">Analytics staffing and regional data-steward training</t>
  </si>
  <si>
    <t xml:space="preserve">Total cross-cutting</t>
  </si>
  <si>
    <t xml:space="preserve">v2 change: USD 1.5M moved from the D10 (Governmental Involvement &amp; Efficiency) lines of Metropolitana (−0.50), Valparaíso (−0.25), Coquimbo (−0.25), Los Lagos (−0.25) and Maule (−0.25) into an explicit national predictive-monitoring and data-governance pilot, so the RfP 2 recommendation to invest in AI-enabled monitoring is funded rather than asserted. Regional totals otherwise unchanged; fund total remains USD 45.0M.</t>
  </si>
  <si>
    <t xml:space="preserve">DB4 Semi-Structured Signals: Decision-Relevant Findings</t>
  </si>
  <si>
    <t xml:space="preserve">v2: three findings added (complaint themes, sensor reliability, platform-vs-official price gap).</t>
  </si>
  <si>
    <t xml:space="preserve">Signal</t>
  </si>
  <si>
    <t xml:space="preserve">Region/Site</t>
  </si>
  <si>
    <t xml:space="preserve">Evidence</t>
  </si>
  <si>
    <t xml:space="preserve">Decision Implication</t>
  </si>
  <si>
    <t xml:space="preserve">Caveat</t>
  </si>
  <si>
    <t xml:space="preserve">Protected-area crowding</t>
  </si>
  <si>
    <t xml:space="preserve">Los Lagos, Parque Nacional Chiloé</t>
  </si>
  <si>
    <t xml:space="preserve">Trail counters avg. 749.5 visitors; max 891; 33.3% of sampled trail readings show non-open status.</t>
  </si>
  <si>
    <t xml:space="preserve">Scale nature tourism only with capacity management, timed entry, maintenance and dispersal.</t>
  </si>
  <si>
    <t xml:space="preserve">Sparse 2025 sensor readings; descriptive, not a full census.</t>
  </si>
  <si>
    <t xml:space="preserve">Protected-area operating pressure</t>
  </si>
  <si>
    <t xml:space="preserve">Valparaíso, Parque Nacional Rapa Nui</t>
  </si>
  <si>
    <t xml:space="preserve">Trail counters avg. 684.9; max 770; 57.1% of sampled trail readings show non-open status.</t>
  </si>
  <si>
    <t xml:space="preserve">Pair promotion with conservation controls and visitor-management funding.</t>
  </si>
  <si>
    <t xml:space="preserve">Small sample; status may reflect maintenance/weather rather than crowding alone.</t>
  </si>
  <si>
    <t xml:space="preserve">Positive digital sentiment</t>
  </si>
  <si>
    <t xml:space="preserve">Metropolitana / Magallanes</t>
  </si>
  <si>
    <t xml:space="preserve">2025 weighted sentiment: +0.685 / +0.675.</t>
  </si>
  <si>
    <t xml:space="preserve">Supports high-intent promotion and premium experience packaging, while monitoring capacity.</t>
  </si>
  <si>
    <t xml:space="preserve">2025 social feed is incomplete and synthetic.</t>
  </si>
  <si>
    <t xml:space="preserve">Experience friction</t>
  </si>
  <si>
    <t xml:space="preserve">Tarapacá / Araucanía / Maule</t>
  </si>
  <si>
    <t xml:space="preserve">2025 weighted sentiment: -0.046 / -0.021 / -0.001; keywords include safety/public transport in affected regions.</t>
  </si>
  <si>
    <t xml:space="preserve">Fix service, mobility and trust issues before scaling paid promotion.</t>
  </si>
  <si>
    <t xml:space="preserve">Sentiment is noisy and platform-dependent.</t>
  </si>
  <si>
    <t xml:space="preserve">Interregional corridor</t>
  </si>
  <si>
    <t xml:space="preserve">RM → Coquimbo</t>
  </si>
  <si>
    <t xml:space="preserve">2025 Q2 mobile-flow estimate: 11,675 visitors, avg stay 3.7 nights.</t>
  </si>
  <si>
    <t xml:space="preserve">Market Coquimbo as a Santiago-linked short-break / astro-coastal corridor.</t>
  </si>
  <si>
    <t xml:space="preserve">Aggregated synthetic mobile-flow estimate, not official counts.</t>
  </si>
  <si>
    <t xml:space="preserve">Maule → Los Lagos</t>
  </si>
  <si>
    <t xml:space="preserve">2025 Q2 mobile-flow estimate: 11,695 visitors, avg stay 2.9 nights.</t>
  </si>
  <si>
    <t xml:space="preserve">Build cross-regional nature itineraries and transport bundles.</t>
  </si>
  <si>
    <t xml:space="preserve">Same privacy and representativeness caveats.</t>
  </si>
  <si>
    <t xml:space="preserve">Complaint themes</t>
  </si>
  <si>
    <t xml:space="preserve">All regions, 2024–2025 flagged complaints</t>
  </si>
  <si>
    <t xml:space="preserve">Top themes: overcrowding at peak season (11), price transparency (11), signage clarity (10), cleanliness near terminals (10).</t>
  </si>
  <si>
    <t xml:space="preserve">Crowding is already a top complaint — supports capacity management before further promotion; signage/cleanliness are cheap Prepare-First fixes.</t>
  </si>
  <si>
    <t xml:space="preserve">34 records carry complaint tags in 2024-2025 (the window used above); 95 records carry complaint tags across the full 2019-2025 feed.</t>
  </si>
  <si>
    <t xml:space="preserve">Sensor reliability</t>
  </si>
  <si>
    <t xml:space="preserve">10 monitored protected areas</t>
  </si>
  <si>
    <t xml:space="preserve">43 of 260 readings lack battery data; 36 report battery &lt;20%; 28 of 80 trail-counter readings are partial closure or weather closure.</t>
  </si>
  <si>
    <t xml:space="preserve">Any monitoring investment must fund sensor upkeep; gaps could be misread as low visitation.</t>
  </si>
  <si>
    <t xml:space="preserve">Battery health added to cross-cutting pilot scope.</t>
  </si>
  <si>
    <t xml:space="preserve">Platform vs official prices</t>
  </si>
  <si>
    <t xml:space="preserve">O'Higgins, Tarapacá, Maule</t>
  </si>
  <si>
    <t xml:space="preserve">Booking-platform ADR runs 6–9% above DB3 ADR in 2024–25 (O'Higgins +8.6%, Tarapacá +8.6%, Maule +6.4%); near zero in Metropolitana and Coquimbo.</t>
  </si>
  <si>
    <t xml:space="preserve">Possible informal-supply or pricing-transparency gap in Prepare First / Wait regions; verify before setting rate benchmarks.</t>
  </si>
  <si>
    <t xml:space="preserve">Two platforms only; averages unweighted by listing volume.</t>
  </si>
  <si>
    <t xml:space="preserve">Data Readiness and Trust Assessment</t>
  </si>
  <si>
    <t xml:space="preserve">v2: issues added after checking the original files : historical vintage 2004–2012, Araucanía 2022-Q4 occupancy 104.5%, 10 scattered missing DB3 cells, Valparaíso 2025-Q1 outlier, IoT battery gaps, buoy readings at inland sites; VA/VI/VP/VPP row read as 'Tipo de variable'.</t>
  </si>
  <si>
    <t xml:space="preserve">Issue</t>
  </si>
  <si>
    <t xml:space="preserve">Source</t>
  </si>
  <si>
    <t xml:space="preserve">Observed Evidence</t>
  </si>
  <si>
    <t xml:space="preserve">Treatment</t>
  </si>
  <si>
    <t xml:space="preserve">Residual Risk</t>
  </si>
  <si>
    <t xml:space="preserve">Legacy geography</t>
  </si>
  <si>
    <t xml:space="preserve">DB1–DB5</t>
  </si>
  <si>
    <t xml:space="preserve">All five sources use the pre-2018 15-region frame; Ñuble is absent although Chile now has 16 regions.</t>
  </si>
  <si>
    <t xml:space="preserve">Keep the 15-region frame so region_code joins cleanly; disclose that no stand-alone Ñuble recommendation is possible.</t>
  </si>
  <si>
    <t xml:space="preserve">No Ñuble recommendation; Biobío figures include Ñuble territory.</t>
  </si>
  <si>
    <t xml:space="preserve">Historical vintage (NEW)</t>
  </si>
  <si>
    <t xml:space="preserve">DB1–DB2</t>
  </si>
  <si>
    <t xml:space="preserve">DB2's own metadata rows date its 50 indicators to 2004–2012 (37 of 45 dated values are 2010–2011) and name the sources (INE, SERNATUR, DIPRES, Carabineros, SBIF, SUBDERE); DB1 carries no year or source rows.</t>
  </si>
  <si>
    <t xml:space="preserve">Treated the ten-dimension composite as a structural baseline from roughly a decade before DB3–DB5, weighted it at 50% and read it alongside 2019–2025 demand and 2025 digital readiness; recommend a refresh of DB1–DB2.</t>
  </si>
  <si>
    <t xml:space="preserve">Enabler scores that change quickly (telecoms, roads, workforce) may be stale; DB1 vintage is undocumented.</t>
  </si>
  <si>
    <t xml:space="preserve">Missing / dash values</t>
  </si>
  <si>
    <t xml:space="preserve">DB1</t>
  </si>
  <si>
    <t xml:space="preserve">10 numeric cells missing after cleaning: 9 literal dashes plus 1 blank (wildfire land 4, forest share 3, preserved sites 2, outbound travellers 1 for O'Higgins).</t>
  </si>
  <si>
    <t xml:space="preserve">Treat as missing; median-impute only inside composite scoring; retain a missingness flag.</t>
  </si>
  <si>
    <t xml:space="preserve">Dimension ranks slightly less certain where imputation occurs (D2, D5).</t>
  </si>
  <si>
    <t xml:space="preserve">Currency-formatted cells</t>
  </si>
  <si>
    <t xml:space="preserve">Income, investment and budget fields carry accounting/currency number formats (e.g., ' $ 293,648 '); values are numeric in the source files but export as text in CSV.</t>
  </si>
  <si>
    <t xml:space="preserve">Cast to numeric after stripping symbols and separators; verified against the originals cell by cell (0 mismatches across 131 indicators).</t>
  </si>
  <si>
    <t xml:space="preserve">None after conversion.</t>
  </si>
  <si>
    <t xml:space="preserve">Missing value</t>
  </si>
  <si>
    <t xml:space="preserve">DB2</t>
  </si>
  <si>
    <t xml:space="preserve">1 missing Crime Index value (Aysén, dash).</t>
  </si>
  <si>
    <t xml:space="preserve">Median-impute only for composite scoring.</t>
  </si>
  <si>
    <t xml:space="preserve">Negligible.</t>
  </si>
  <si>
    <t xml:space="preserve">VA/VI/VP/VPP codes</t>
  </si>
  <si>
    <t xml:space="preserve">DB2 header row</t>
  </si>
  <si>
    <t xml:space="preserve">Row is labelled 'Tipo de variable' (variable type). Within every dimension the codes run VA → VI → VP → VPP in column order and all five D10 public-policy variables are VPP, which suggests a relevance or policy grading rather than a measurement scale.</t>
  </si>
  <si>
    <t xml:space="preserve">Not used analytically (no weights); flagged for the Ministry to document.</t>
  </si>
  <si>
    <t xml:space="preserve">Possible loss of an intended weighting scheme.</t>
  </si>
  <si>
    <t xml:space="preserve">Trailing TOTAL row; metadata rows</t>
  </si>
  <si>
    <t xml:space="preserve">DB1 ends with a TOTAL row; DB2 ends with AÑO / FUENTE / LINK / file-location rows below the 15 regions.</t>
  </si>
  <si>
    <t xml:space="preserve">Dropped before scoring; DB2 metadata retained as a sourcing table (DB2_Indicator_Metadata).</t>
  </si>
  <si>
    <t xml:space="preserve">None.</t>
  </si>
  <si>
    <t xml:space="preserve">Duplicate record</t>
  </si>
  <si>
    <t xml:space="preserve">DB3</t>
  </si>
  <si>
    <t xml:space="preserve">Antofagasta 2022-Q4 appears twice with identical values (406 rows in source, 405 after de-duplication).</t>
  </si>
  <si>
    <t xml:space="preserve">One exact duplicate dropped before modelling.</t>
  </si>
  <si>
    <t xml:space="preserve">Impossible negative value</t>
  </si>
  <si>
    <t xml:space="preserve">Aysén 2020-Q1 international arrivals = −3,148.</t>
  </si>
  <si>
    <t xml:space="preserve">Set to missing; excluded from level and model calculations.</t>
  </si>
  <si>
    <t xml:space="preserve">Aysén recovery ratio less reliable.</t>
  </si>
  <si>
    <t xml:space="preserve">Impossible value &gt;100% (NEW)</t>
  </si>
  <si>
    <t xml:space="preserve">Araucanía 2022-Q4 occupancy recorded as 104.5%.</t>
  </si>
  <si>
    <t xml:space="preserve">Set to missing; occupancy averages for Araucanía exclude the cell.</t>
  </si>
  <si>
    <t xml:space="preserve">Araucanía 2022 occupancy history less reliable.</t>
  </si>
  <si>
    <t xml:space="preserve">Scattered missing cells (NEW)</t>
  </si>
  <si>
    <t xml:space="preserve">5 missing average-daily-rate and 5 missing occupancy cells in the source (e.g., Metropolitana 2023-Q1 ADR; Araucanía 2025-Q1 occupancy; Aysén 2025-Q2 occupancy).</t>
  </si>
  <si>
    <t xml:space="preserve">Left missing; averages use available quarters; forecast series selected have complete holdout windows.</t>
  </si>
  <si>
    <t xml:space="preserve">Latest-occupancy figures for Araucanía and Aysén rest on three quarters, not four.</t>
  </si>
  <si>
    <t xml:space="preserve">Within-series outlier (NEW)</t>
  </si>
  <si>
    <t xml:space="preserve">Valparaíso 2025-Q1 occupancy = 86.2% (z = 2.9 vs 2022–25 regional mean).</t>
  </si>
  <si>
    <t xml:space="preserve">Retained as plausible peak-season value; forecast error reported with and without it.</t>
  </si>
  <si>
    <t xml:space="preserve">Holdout RMSE for Valparaíso occupancy is sensitive to a single quarter.</t>
  </si>
  <si>
    <t xml:space="preserve">Semi-structured sparsity</t>
  </si>
  <si>
    <t xml:space="preserve">DB4</t>
  </si>
  <si>
    <t xml:space="preserve">Four record types with different fields; platform/quarter/site coverage incomplete (2 platforms; 56 booking snapshots in 2025; complaints present in 95 of 289 sentiment records across the full 2019-2025 feed; 34 of those 95 fall in 2024-2025, the window used for the RfP 2 complaint-theme table). File header states the feed is synthetic.</t>
  </si>
  <si>
    <t xml:space="preserve">Analysed within record type; absent records never treated as zero.</t>
  </si>
  <si>
    <t xml:space="preserve">Signals are directional, not population estimates.</t>
  </si>
  <si>
    <t xml:space="preserve">Sensor reliability (NEW)</t>
  </si>
  <si>
    <t xml:space="preserve">DB4 IoT</t>
  </si>
  <si>
    <t xml:space="preserve">43 of 260 sensor readings lack battery data (across all three sensor types) and 36 report battery below 20%; 28 of 80 trail-counter readings are non-open status.</t>
  </si>
  <si>
    <t xml:space="preserve">Crowding metrics computed on available readings; battery health added to the monitoring pilot scope.</t>
  </si>
  <si>
    <t xml:space="preserve">Sensor gaps could be misread as low visitation.</t>
  </si>
  <si>
    <t xml:space="preserve">Implausible sensor–site pairing (NEW)</t>
  </si>
  <si>
    <t xml:space="preserve">97 'buoy' readings with sea-condition and wave-height fields are attached to inland sites such as Parque Nacional Lauca, Reserva Nacional Malalcahuello and Reserva Nacional Coyhaique; the course vignette describes buoys only in coastal zones.</t>
  </si>
  <si>
    <t xml:space="preserve">Buoy readings excluded from any coastal-conditions inference; flagged as a labelling/plausibility check for the real feed.</t>
  </si>
  <si>
    <t xml:space="preserve">In a live feed this would signal mis-registered sensors.</t>
  </si>
  <si>
    <t xml:space="preserve">Synthetic provenance</t>
  </si>
  <si>
    <t xml:space="preserve">DB3–DB5</t>
  </si>
  <si>
    <t xml:space="preserve">DB4's header note reads 'Synthetic, illustrative data generated for TGM 530 … Not official Ministry data' (seed 20260914); DB3 and DB5 are labelled illustrative in the RfP.</t>
  </si>
  <si>
    <t xml:space="preserve">Used for the decision simulation only; never presented as official statistics.</t>
  </si>
  <si>
    <t xml:space="preserve">External validity intentionally limited.</t>
  </si>
  <si>
    <t xml:space="preserve">AVG reference row</t>
  </si>
  <si>
    <t xml:space="preserve">DB5</t>
  </si>
  <si>
    <t xml:space="preserve">region_code = 'AVG' is a national-average reference row (16th row).</t>
  </si>
  <si>
    <t xml:space="preserve">Excluded from the 15-region scoring.</t>
  </si>
  <si>
    <t xml:space="preserve">Region-name label inconsistency (NEW)</t>
  </si>
  <si>
    <t xml:space="preserve">region_name carries two spellings for the same region_code: ‘Araucanía’ and ‘Araucania’ (IX), and ‘Metropolitana’ and ‘Región Metropolitana (RM)’ (RM).</t>
  </si>
  <si>
    <t xml:space="preserve">All joins and scoring use region_code, never the free-text region_name column, so the label variants never entered any calculation.</t>
  </si>
  <si>
    <t xml:space="preserve">None for this analysis; flagged so a future refresh normalizes region_name before it is used directly.</t>
  </si>
  <si>
    <t xml:space="preserve">Analytical Methodology</t>
  </si>
  <si>
    <t xml:space="preserve">Step</t>
  </si>
  <si>
    <t xml:space="preserve">Method</t>
  </si>
  <si>
    <t xml:space="preserve">Specification</t>
  </si>
  <si>
    <t xml:space="preserve">Why</t>
  </si>
  <si>
    <t xml:space="preserve">1. Clean</t>
  </si>
  <si>
    <t xml:space="preserve">Preserve source structure; convert numeric/currency; map dash to missing; drop TOTAL/AVG; dedupe DB3.</t>
  </si>
  <si>
    <t xml:space="preserve">Legacy 15-region frame maintained to keep region_code joins consistent.</t>
  </si>
  <si>
    <t xml:space="preserve">Assignment explicitly requires transparent handling of imperfect data.</t>
  </si>
  <si>
    <t xml:space="preserve">2. Normalize</t>
  </si>
  <si>
    <t xml:space="preserve">Each DB1–DB2 indicator min-max normalized to 0–100 across 15 regions; clearly adverse indicators reversed.</t>
  </si>
  <si>
    <t xml:space="preserve">Missing values median-imputed only for scoring. Variables equally weighted within each of 10 dimensions.</t>
  </si>
  <si>
    <t xml:space="preserve">Prevents unit scale from dominating; mirrors the spirit of WEF unweighted indicator aggregation without claiming an official TTDI score.</t>
  </si>
  <si>
    <t xml:space="preserve">3. Regional scores</t>
  </si>
  <si>
    <t xml:space="preserve">Overall = mean(D1…D10); Asset = mean(D1,D2); Enabler = mean(D3…D10).</t>
  </si>
  <si>
    <t xml:space="preserve">Recent Demand = 50% log latest 4Q arrivals + 30% occupancy + 20% international-arrival recovery. Digital = mean normalized DB5 metrics.</t>
  </si>
  <si>
    <t xml:space="preserve">Separates tourism endowment, execution capacity, current demand and digital readiness.</t>
  </si>
  <si>
    <t xml:space="preserve">4. Priority score</t>
  </si>
  <si>
    <t xml:space="preserve">0.50 Historical Composite + 0.30 Recent Demand + 0.20 Digital Readiness.</t>
  </si>
  <si>
    <t xml:space="preserve">Decision-support ranking; final tiers also apply professional judgment on niche value and bottlenecks.</t>
  </si>
  <si>
    <t xml:space="preserve">Avoids treating a single composite as an automatic investment rule.</t>
  </si>
  <si>
    <t xml:space="preserve">5. Forecast validation</t>
  </si>
  <si>
    <t xml:space="preserve">Seasonal trend regression: intercept + linear time trend + quarter dummies; arrivals estimated in log scale.</t>
  </si>
  <si>
    <t xml:space="preserve">Train 2022-Q1–2024-Q3; hold out 2024-Q4–2025-Q3; compare RMSE with seasonal-naive same-quarter-last-year baseline.</t>
  </si>
  <si>
    <t xml:space="preserve">Directly meets RfP requirement to test out-of-sample against a simple baseline.</t>
  </si>
  <si>
    <t xml:space="preserve">6. Budget</t>
  </si>
  <si>
    <t xml:space="preserve">USD 45M distributed only to Scale Now and Prepare First regions.</t>
  </si>
  <si>
    <t xml:space="preserve">Scale Now receives growth/capacity funding; Prepare First receives foundational funding; Wait receives no near-term allocation.</t>
  </si>
  <si>
    <t xml:space="preserve">Aligns capital with readiness and makes opportunity cost explicit.</t>
  </si>
  <si>
    <t xml:space="preserve">2b. Identity scoring</t>
  </si>
  <si>
    <t xml:space="preserve">Eight identity scores per region = mean of min–max-normalised DB1/DB2 indicators mapped to each identity (see Identity_Scoring).</t>
  </si>
  <si>
    <t xml:space="preserve">Final primary/secondary identity = data rank, overridden only with a written rationale (three overrides in v2: Metropolitana, Aysén, Magallanes).</t>
  </si>
  <si>
    <t xml:space="preserve">Makes the 'what should each region be known for' call auditable instead of intuitive.</t>
  </si>
  <si>
    <t xml:space="preserve">5b. Forecast governance</t>
  </si>
  <si>
    <t xml:space="preserve">Same holdout protocol run on all 45 region × metric series; model kept as challenger where it loses to the seasonal-naive rule.</t>
  </si>
  <si>
    <t xml:space="preserve">Coquimbo arrivals and Valparaíso occupancy reported with sensitivity (outlier excluded) and a seasonal-naive planning floor for the 8-quarter outlook.</t>
  </si>
  <si>
    <t xml:space="preserve">Prevents cherry-picking the two series where the model happens to win.</t>
  </si>
  <si>
    <t xml:space="preserve">7. Cross-cutting budget line</t>
  </si>
  <si>
    <t xml:space="preserve">USD 1.5M ring-fenced for predictive monitoring and data governance, funded from D10 lines of five regions.</t>
  </si>
  <si>
    <t xml:space="preserve">Sensor upkeep 0.5; data platform 0.4; privacy/model-risk audit 0.3; staffing/training 0.3.</t>
  </si>
  <si>
    <t xml:space="preserve">Aligns the RfP 2 'invest now' recommendation with the RfP 2 budget.</t>
  </si>
  <si>
    <t xml:space="preserve">2c. Dimension boundaries (verified)</t>
  </si>
  <si>
    <t xml:space="preserve">Taken from the merged header rows of the original files: D1 24, D2 23, D3 12, D4 10, D5 12 indicators (DB1); D6 18, D7 12, D8 9, D9 6, D10 5 (DB2) = 131.</t>
  </si>
  <si>
    <t xml:space="preserve">Recomputing every dimension score from the original files reproduces Dimension_Scores exactly (max difference 0.000).</t>
  </si>
  <si>
    <t xml:space="preserve">Scores are auditable back to the Ministry files.</t>
  </si>
  <si>
    <t xml:space="preserve">2d. Reversed (adverse) indicators</t>
  </si>
  <si>
    <t xml:space="preserve">20 indicators scored as 100 − normalised value: D2: % land in human settlements, toxic waste, environmental complaints, environmental issues per million, land affected by wildfires; D7: crime perception, homes with a crime victim, murders, public-health complaints, Crime Index, homes reporting a crime, reported crimes, accidents, illegal commerce; D8: unemployment, poverty, IP crimes, strikes, strike length, strike cost.</t>
  </si>
  <si>
    <t xml:space="preserve">All other indicators treated as 'more is better', including outbound travellers (D5) and % population with primary education (D3).</t>
  </si>
  <si>
    <t xml:space="preserve">Makes the 'clearly adverse' rule explicit and reproducible.</t>
  </si>
  <si>
    <t xml:space="preserve">1b. Source verification</t>
  </si>
  <si>
    <t xml:space="preserve">Cleaned values compared cell by cell with the original DB1–DB5 files: 0 mismatches across 131 × 15 DB1–DB2 cells, DB3 (after the two documented fixes), DB4 record counts by type (280/289/260/172) and DB5.</t>
  </si>
  <si>
    <t xml:space="preserve">DB2 metadata rows (AÑO/FUENTE/LINK) extracted to DB2_Indicator_Metadata.</t>
  </si>
  <si>
    <t xml:space="preserve">Demonstrates the cleaning did not alter the Ministry's numbers.</t>
  </si>
  <si>
    <t xml:space="preserve">region_code</t>
  </si>
  <si>
    <t xml:space="preserve">region_name</t>
  </si>
  <si>
    <t xml:space="preserve">CULTURAL EVENTS SCHEDULED THROUGHOUT THE YEAR</t>
  </si>
  <si>
    <t xml:space="preserve">NUMBER OF CULTURAL CENTERS</t>
  </si>
  <si>
    <t xml:space="preserve">WORLD CULTURAL HERITAGE SITES</t>
  </si>
  <si>
    <t xml:space="preserve">NUMBER OF ARCHEOLOGICAL SITES</t>
  </si>
  <si>
    <t xml:space="preserve">NATIONAL MONUMENTS</t>
  </si>
  <si>
    <t xml:space="preserve">MUSEUMS</t>
  </si>
  <si>
    <t xml:space="preserve">% OF POPULATION THAT ATTENDS MUSEUMS</t>
  </si>
  <si>
    <t xml:space="preserve">THEATERS</t>
  </si>
  <si>
    <t xml:space="preserve">NUMBER OF THEATER PLAYS PER YEAR</t>
  </si>
  <si>
    <t xml:space="preserve">LIBRARIES</t>
  </si>
  <si>
    <t xml:space="preserve">GALERIES</t>
  </si>
  <si>
    <t xml:space="preserve">% OF POPULATION ASSOCIATED TO AN INDIGENOUS GROUP</t>
  </si>
  <si>
    <t xml:space="preserve">NUMBER OF EXHIBITS</t>
  </si>
  <si>
    <t xml:space="preserve">ARTISTIC EVENTS (MUSIC, DANCE AND FOLKLOR, THEATRE, ETC) PER YEAR</t>
  </si>
  <si>
    <t xml:space="preserve">MAJOR SPORTS EVENTS PER YEAR</t>
  </si>
  <si>
    <t xml:space="preserve">OBSERVATORIES, ZOOS, AQUARIUMS, BOTANICAL GARDENS</t>
  </si>
  <si>
    <t xml:space="preserve">ARTWORK SITES</t>
  </si>
  <si>
    <t xml:space="preserve">POPULAR ARCHITECTURE SITES</t>
  </si>
  <si>
    <t xml:space="preserve">HISTORICAL SITES</t>
  </si>
  <si>
    <t xml:space="preserve">LOCAL MARKETS</t>
  </si>
  <si>
    <t xml:space="preserve">CULTURAL SITES LEVEL III (INTERNATIONAL)</t>
  </si>
  <si>
    <t xml:space="preserve">CULTURA SITES LEVEL II (NATIONAL)</t>
  </si>
  <si>
    <t xml:space="preserve">CULTURAL SITES LEVEL I (LOCAL)</t>
  </si>
  <si>
    <t xml:space="preserve">HERITAGE ARCHITECTURAL HOUSES</t>
  </si>
  <si>
    <t xml:space="preserve">% OF LAND THAT CORRESPONDS TO FORESTS</t>
  </si>
  <si>
    <t xml:space="preserve">NATIONAL PROTECTED SITES (%)</t>
  </si>
  <si>
    <t xml:space="preserve">% LAND THAT CORRESPONDS TO HUMAN SETTLEMENTS</t>
  </si>
  <si>
    <t xml:space="preserve">TOXIC WASTE DISPOSAL (TONS/100 hab.)</t>
  </si>
  <si>
    <t xml:space="preserve">NUMBER OF ENVIRONMENTAL COMPLAINTS PRESENTED</t>
  </si>
  <si>
    <t xml:space="preserve">ENVIRONMENTAL ISSUES PER MILLION HABITANTS</t>
  </si>
  <si>
    <t xml:space="preserve">NUMBER OF BEACHES AND BEACH RESORTS</t>
  </si>
  <si>
    <t xml:space="preserve">LAND AFFECTED BY WILDFIRES</t>
  </si>
  <si>
    <t xml:space="preserve">NATURAL PROTECTED SITES LEVEL III (INTERNATIONAL)</t>
  </si>
  <si>
    <t xml:space="preserve">NATURAL PROTECTED SITES LEVEL II (NATIONAL)</t>
  </si>
  <si>
    <t xml:space="preserve">RIVERS, LAKES AND WATERFALLS</t>
  </si>
  <si>
    <t xml:space="preserve">MOUNTAINS, VOLCANOES AND MOUNTAIN SYSTEMS</t>
  </si>
  <si>
    <t xml:space="preserve">GEISERS AND THERMAL CENTERS</t>
  </si>
  <si>
    <t xml:space="preserve">PIERS AND SEASHORES</t>
  </si>
  <si>
    <t xml:space="preserve">GLACIERS AND WINTER VACATION LOCATIONS</t>
  </si>
  <si>
    <t xml:space="preserve">VALLEYS</t>
  </si>
  <si>
    <t xml:space="preserve">DESERTS AND DUNES</t>
  </si>
  <si>
    <t xml:space="preserve">ISLANDS AND PENINSULAS</t>
  </si>
  <si>
    <t xml:space="preserve">PALEONTOLOGY SITES</t>
  </si>
  <si>
    <t xml:space="preserve">HIKING TRAILS</t>
  </si>
  <si>
    <t xml:space="preserve">PRESERVED SITES</t>
  </si>
  <si>
    <t xml:space="preserve">SEASHORE PROTECTED SITES</t>
  </si>
  <si>
    <t xml:space="preserve">BIOSHPERE RESERVES</t>
  </si>
  <si>
    <t xml:space="preserve">% AVAILABLE WORKFORCE</t>
  </si>
  <si>
    <t xml:space="preserve">% POPULATION ORIENTED TOWARDS TOURISM</t>
  </si>
  <si>
    <t xml:space="preserve">AVERAGE MONTHLY INCOME (CHILEAN PESOS)</t>
  </si>
  <si>
    <t xml:space="preserve">5 POPULATION WITH PRIMARY EDUCATION</t>
  </si>
  <si>
    <t xml:space="preserve">% POPULATION WITH SECONDARY EDUCATION</t>
  </si>
  <si>
    <t xml:space="preserve">AVERAGE NUMBER OF YEARS STUDYING</t>
  </si>
  <si>
    <t xml:space="preserve">HIGHER EDUCATION AND TECHNICAL INSTITUTIONS</t>
  </si>
  <si>
    <t xml:space="preserve">TOURISM-ORIENTED INSTITUTIONS</t>
  </si>
  <si>
    <t xml:space="preserve">NUMBER OF COLLEGE STUDENTS IN TOURISM RELATED PROGRAMS</t>
  </si>
  <si>
    <t xml:space="preserve">AVERAGE NUMBER OF GRADUATES IN TOURISM-RELATED PROGRAMS</t>
  </si>
  <si>
    <t xml:space="preserve">DENSITY OF TOURISM GUIDES (PER 100.000 HABITANTS)</t>
  </si>
  <si>
    <t xml:space="preserve">CERTIFIED WORKERS ON HIGHLY-COMPETITIVE TOURISM STANDARDS</t>
  </si>
  <si>
    <t xml:space="preserve">% OF TOURISM-RELATED ROOMS AVAILABLE THROUGHOUT THE YEAR</t>
  </si>
  <si>
    <t xml:space="preserve">ROOMS PER 1000 HABITANTS</t>
  </si>
  <si>
    <t xml:space="preserve">NUMBER OF BEDS AVAILABLE IN HOTELS, HOSTELS, B&amp;B, ETC.</t>
  </si>
  <si>
    <t xml:space="preserve">TOURISM-RELATED WORKFORCE (PER 10,000 EMPLOYEES)</t>
  </si>
  <si>
    <t xml:space="preserve">AVERAGE % OF OCCUPANCY THROUGHOUT THE YEAR</t>
  </si>
  <si>
    <t xml:space="preserve">AVERAGE NUMBER OF NIGHTS THAT TOURISTS SPEND</t>
  </si>
  <si>
    <t xml:space="preserve">NUMBER OF ESTABLISHMENTS WITH A TOURIST-RELATED CERTIFICATION</t>
  </si>
  <si>
    <t xml:space="preserve">NUMBER OF CERTIFIED CONSULTANTS FOR TOURISM-RELATED CERTIFICATIONS</t>
  </si>
  <si>
    <t xml:space="preserve">TOURISM-RELATED INVESTEMENTS (MILLION USD) BY CHAMBER OF COMMERCE MEMBERS</t>
  </si>
  <si>
    <t xml:space="preserve">TOURISM-RELATED INFRASTRUCTURE INVESTMENT (MILLION USD/YEAR)</t>
  </si>
  <si>
    <t xml:space="preserve">NATIONAL TOURISTS ARRIVALS</t>
  </si>
  <si>
    <t xml:space="preserve">INTERNATIONAL TOURISTS ARRIVALS</t>
  </si>
  <si>
    <t xml:space="preserve">NUMBER OF PEOPLE TRAVELING OUT OF THE COUNTRY</t>
  </si>
  <si>
    <t xml:space="preserve">DENSITY OF AIRPORTS</t>
  </si>
  <si>
    <t xml:space="preserve">DENSITY OF ROADS AND HIGHWAYS</t>
  </si>
  <si>
    <t xml:space="preserve">% OF ROADS THAT ARE HIGHWAYS (FOUR LINES)</t>
  </si>
  <si>
    <t xml:space="preserve">NUMBER OF VEHICLES</t>
  </si>
  <si>
    <t xml:space="preserve">VISITORS TO PROTECTED SITES</t>
  </si>
  <si>
    <t xml:space="preserve">NUMBER OF CRUISES THAT ARRIVE PER YEAR</t>
  </si>
  <si>
    <t xml:space="preserve">TOURIST'S ARRIVALS THROUGH BORDER LINES</t>
  </si>
  <si>
    <t xml:space="preserve">SECONDARY ROADS (KMS)</t>
  </si>
  <si>
    <t xml:space="preserve">NUMBER OF INTERNATIONAL BORDER GATES</t>
  </si>
  <si>
    <t xml:space="preserve">Density of restaurants per 100,000 habitants</t>
  </si>
  <si>
    <t xml:space="preserve">People working at restaurants per 10,000 habitants</t>
  </si>
  <si>
    <t xml:space="preserve">Car rental agencies</t>
  </si>
  <si>
    <t xml:space="preserve">Hospital beds per 10,000 habitants</t>
  </si>
  <si>
    <t xml:space="preserve">Density of ATM machines per 100,000 habitants</t>
  </si>
  <si>
    <t xml:space="preserve">Spas</t>
  </si>
  <si>
    <t xml:space="preserve">Casinos per 100,000 habitants</t>
  </si>
  <si>
    <t xml:space="preserve">Golf courses</t>
  </si>
  <si>
    <t xml:space="preserve">Artwork Centers</t>
  </si>
  <si>
    <t xml:space="preserve">Density of tourist guides per 100,000 habitants</t>
  </si>
  <si>
    <t xml:space="preserve">Thermal centers</t>
  </si>
  <si>
    <t xml:space="preserve">Density of sports centers per 10,000 habitants</t>
  </si>
  <si>
    <t xml:space="preserve">Ski resorts</t>
  </si>
  <si>
    <t xml:space="preserve">Major shopping centers</t>
  </si>
  <si>
    <t xml:space="preserve">Phone service penetration pero 1,000 habitants</t>
  </si>
  <si>
    <t xml:space="preserve">Density of service stations</t>
  </si>
  <si>
    <t xml:space="preserve">Number of certified tourism-operators</t>
  </si>
  <si>
    <t xml:space="preserve">Number of vineyards</t>
  </si>
  <si>
    <t xml:space="preserve">Percentage of crime perception</t>
  </si>
  <si>
    <t xml:space="preserve">Percentage of homes with at least one crime victim per year</t>
  </si>
  <si>
    <t xml:space="preserve">Density of murders per one million habitants</t>
  </si>
  <si>
    <t xml:space="preserve">Density of public health complaints per one million habitants</t>
  </si>
  <si>
    <t xml:space="preserve">Crime index</t>
  </si>
  <si>
    <t xml:space="preserve">Allocated budget for public safety (millions of chilean pesos)</t>
  </si>
  <si>
    <t xml:space="preserve">Porcentage of homes that reported at least one crime</t>
  </si>
  <si>
    <t xml:space="preserve">Number of reported crimes</t>
  </si>
  <si>
    <t xml:space="preserve">Number of crimes investigated and resolved</t>
  </si>
  <si>
    <t xml:space="preserve">Number of accidents (roads; air; water)</t>
  </si>
  <si>
    <t xml:space="preserve">Illegal commerce</t>
  </si>
  <si>
    <t xml:space="preserve">Number of police units</t>
  </si>
  <si>
    <t xml:space="preserve">Unemployment rate</t>
  </si>
  <si>
    <t xml:space="preserve">Poverty rate</t>
  </si>
  <si>
    <t xml:space="preserve">Industrial and Intellectual property crimes</t>
  </si>
  <si>
    <t xml:space="preserve">Yearly strikes</t>
  </si>
  <si>
    <t xml:space="preserve">Average length of strikes</t>
  </si>
  <si>
    <t xml:space="preserve">Estimated daily cost per individual participating on a strike</t>
  </si>
  <si>
    <t xml:space="preserve">Banks per one million habitants</t>
  </si>
  <si>
    <t xml:space="preserve">Temporary residents</t>
  </si>
  <si>
    <t xml:space="preserve">Exports (volume in million chilean pesos)</t>
  </si>
  <si>
    <t xml:space="preserve">Density of tourism offices per one million habitants</t>
  </si>
  <si>
    <t xml:space="preserve">Number of tourism information offices</t>
  </si>
  <si>
    <t xml:space="preserve">Average number of internet searches for main tourist attractions</t>
  </si>
  <si>
    <t xml:space="preserve">Yearly budget for tourism promotion ($M)</t>
  </si>
  <si>
    <t xml:space="preserve">Yearly budget for international tourism promotion ($M)</t>
  </si>
  <si>
    <t xml:space="preserve">Governmental resources allocated to tourism promotion ($M)</t>
  </si>
  <si>
    <t xml:space="preserve">Public infrastructure investments related to the tourism sector ($)</t>
  </si>
  <si>
    <t xml:space="preserve">Entrepreneurial and Innovation funds allocated to tourism related projects ($)</t>
  </si>
  <si>
    <t xml:space="preserve">Seed funds allocated to the tourism sector ($)</t>
  </si>
  <si>
    <t xml:space="preserve">Governmental funds devoted to tourism development ($)</t>
  </si>
  <si>
    <t xml:space="preserve">Number of regional strategy plans for tourism development</t>
  </si>
  <si>
    <t xml:space="preserve">DB2 Indicator Metadata: reference year, source and type code, as recorded in the original Ministry file</t>
  </si>
  <si>
    <t xml:space="preserve">Copied from rows 7 and 24–26 of 'Tourism Chile D6 - D10.xlsx' (Tipo de variable / AÑO / FUENTE / LINK). DB1 carries no equivalent metadata.</t>
  </si>
  <si>
    <t xml:space="preserve">Indicator</t>
  </si>
  <si>
    <t xml:space="preserve">Type code</t>
  </si>
  <si>
    <t xml:space="preserve">Reference year</t>
  </si>
  <si>
    <t xml:space="preserve">Source (FUENTE)</t>
  </si>
  <si>
    <t xml:space="preserve">Link</t>
  </si>
  <si>
    <t xml:space="preserve">VA</t>
  </si>
  <si>
    <t xml:space="preserve">INE - Informe anual de turismo</t>
  </si>
  <si>
    <t xml:space="preserve">http://www.ine.cl/canales/menu/publicaciones/calendario_de_publicaciones/pdf/18082011/Turismo_2010_18082011.pdf</t>
  </si>
  <si>
    <t xml:space="preserve">SERNATUR - Turismo y empleo en Chile</t>
  </si>
  <si>
    <t xml:space="preserve">http://www.sernatur.cl/estudios-y-estadisticas?did=16</t>
  </si>
  <si>
    <t xml:space="preserve">SERNATUR - Unidad de servicios turísticos</t>
  </si>
  <si>
    <t xml:space="preserve">----------------</t>
  </si>
  <si>
    <t xml:space="preserve">INE -“Estadísticas de salud” – “Dotación de camas hospitalarias por subsector y región</t>
  </si>
  <si>
    <t xml:space="preserve">http://www.ine.cl/canales/menu/publicaciones/compendio_estadistico/pdf/2011/1.6estadisticas_salud.pdf</t>
  </si>
  <si>
    <t xml:space="preserve">SBIF -"Información financiera” – Categoría “Productos” – Estadística de Cajeros automáticos</t>
  </si>
  <si>
    <t xml:space="preserve">http://www.sbif.cl/sbifweb/servlet/InfoFinanciera?indice=4.1&amp;idCategoria=564&amp;tipocont=2150</t>
  </si>
  <si>
    <t xml:space="preserve">Atractivos Turísticos Base SIG SERNATUR</t>
  </si>
  <si>
    <t xml:space="preserve">Superintendencia de Casinos de Juego – Estadísticas de la industria – Análisis de la industria –Casinos de juego en operación</t>
  </si>
  <si>
    <t xml:space="preserve">http://www.scj.cl/estadisticas/analisis_estadisticas1.html</t>
  </si>
  <si>
    <t xml:space="preserve">Federación chilena de golf – Listado de clubes</t>
  </si>
  <si>
    <t xml:space="preserve">http://www.chilegolf.cl/es/clubes</t>
  </si>
  <si>
    <t xml:space="preserve">VP</t>
  </si>
  <si>
    <t xml:space="preserve">SERNATUR- Micrositio de rutas termales</t>
  </si>
  <si>
    <t xml:space="preserve">http://www.sernatur.cl/images/lang1/nacional/micrositios/termas/index.php?cod=12</t>
  </si>
  <si>
    <t xml:space="preserve">INE-Primer Catastro Nacional de Instalaciones y Recintos deportivos</t>
  </si>
  <si>
    <t xml:space="preserve">http://www.ine.cl/canales/sala_prensa/archivo_documentos/enfoques/2006/pdf/deporte090506.pdf</t>
  </si>
  <si>
    <t xml:space="preserve">VPP</t>
  </si>
  <si>
    <t xml:space="preserve">SERNATUR - Sitio web Chile es Tuyo</t>
  </si>
  <si>
    <t xml:space="preserve">http://www.chileestuyo.cl/historias-y-novedades-de-chile/centros-de-ski-en-chile.html</t>
  </si>
  <si>
    <t xml:space="preserve">Camara Chilena de Centros Comerciales - Catástro Nacional de Centros Comerciales</t>
  </si>
  <si>
    <t xml:space="preserve">http://www.camaracentroscomerciales.cl/catastro_cchcc/index.html</t>
  </si>
  <si>
    <t xml:space="preserve">Subsecretaría de Telecomunicaciones - Series Líneas Telefónicas Marzo 2012</t>
  </si>
  <si>
    <t xml:space="preserve">http://www.subtel.gob.cl/prontus_subtel/site/artic/20070212/pags/20070212182348.html</t>
  </si>
  <si>
    <t xml:space="preserve">Comisión Nacional de Energía - Sistema de Información en Línea de Precios de Combustibles en Estaciones de Servicios</t>
  </si>
  <si>
    <t xml:space="preserve">http://www.bencinaenlinea.cl/web2/buscador.php?region=2</t>
  </si>
  <si>
    <t xml:space="preserve">SERNATUR - Servicio de Angencias de Viajes y Tour Operadores Certificados</t>
  </si>
  <si>
    <t xml:space="preserve">www.calidadturistica.cl</t>
  </si>
  <si>
    <t xml:space="preserve">SIG Sernatur/ Categoría Realizaciones Técticas Contemporáneas</t>
  </si>
  <si>
    <t xml:space="preserve">Subsecretaría de prevención del delito – encuesta ENUSC “Encuesta nacional urbana de seguridad ciudadana”</t>
  </si>
  <si>
    <t xml:space="preserve">http://www.seguridadpublica.gov.cl/enusc_2010.html</t>
  </si>
  <si>
    <t xml:space="preserve">INE - Encuesta de seguridad ciudadana</t>
  </si>
  <si>
    <t xml:space="preserve">http://www.ine.cl/canales/chile_estadistico/encuestas_seguridadciudadana/victimizacion2010.php</t>
  </si>
  <si>
    <t xml:space="preserve">INE – Anuario de Investigaciones</t>
  </si>
  <si>
    <t xml:space="preserve">http://www.ine.cl/canales/chile_estadistico/estadisticas_sociales_culturales/policiales/investigaciones/investigaciones.php</t>
  </si>
  <si>
    <t xml:space="preserve">Fundación Paz Ciudadana - Conceptos Nº 22: La medición del desempeño policial en Chile</t>
  </si>
  <si>
    <t xml:space="preserve">http://www.pazciudadana.cl/publs.php?&amp;view=A</t>
  </si>
  <si>
    <t xml:space="preserve">DIPRES – instituciones – Ministerio del interior y seguridad pública – Antecedentes presupuestarios – Presupuesto Capítulos</t>
  </si>
  <si>
    <t xml:space="preserve">http://www.dipres.gob.cl/574/multipropertyvalues-2430-14273.html</t>
  </si>
  <si>
    <t xml:space="preserve">Subsecretaría de prevención del delito</t>
  </si>
  <si>
    <t xml:space="preserve">http://www.seguridadpublica.gov.cl/publicaciones.html</t>
  </si>
  <si>
    <t xml:space="preserve">INE - Carabineros Informe Anual 2008</t>
  </si>
  <si>
    <t xml:space="preserve">Carabineros de Chile - Carabineros en Cifras 2011</t>
  </si>
  <si>
    <t xml:space="preserve">Carabineros de Chile - Cuenta Pública</t>
  </si>
  <si>
    <t xml:space="preserve">http://centroestudios.carabineros.cl/#</t>
  </si>
  <si>
    <t xml:space="preserve">INE – Nueva encuesta nacional de empleo</t>
  </si>
  <si>
    <t xml:space="preserve">http://www.ine.cl/canales/chile_estadistico/mercado_del_trabajo/nene/cifras_trimestrales.php</t>
  </si>
  <si>
    <t xml:space="preserve">Ministerio de Desarrollo Social</t>
  </si>
  <si>
    <t xml:space="preserve">http://www.ministeriodesarrollosocial.gob.cl/casen/Estadisticas/pobreza.html</t>
  </si>
  <si>
    <t xml:space="preserve">Dirección del Trabajo – Compendio de series estadísticas – Capítulo N°3: Huelgas</t>
  </si>
  <si>
    <t xml:space="preserve">http://www.dt.gob.cl/documentacion/1612/w3-article-62610.html</t>
  </si>
  <si>
    <t xml:space="preserve">Superintendencia de Bancos e Instituciones Financieras Chile - Estadísticas Regionales - Revista Antecedentes Regionales</t>
  </si>
  <si>
    <t xml:space="preserve">http://www.sbif.cl/sbifweb/servlet/InfoFinanciera?indice=4.1&amp;idCategoria=2135&amp;tipocont=0</t>
  </si>
  <si>
    <t xml:space="preserve">Dirección General de Direcciones Económicas Internacionales PROCHILE - Anuario Exportaciones Regionales 2009</t>
  </si>
  <si>
    <t xml:space="preserve">http://www.prochile.cl/regiones_pro/archivos/region_X/Anuario%20de%20Exportaciones%20Regionales%20Chilenas%202009.pdf</t>
  </si>
  <si>
    <t xml:space="preserve">Oficina de Información Turística en Santiago</t>
  </si>
  <si>
    <t xml:space="preserve">Google AdWords</t>
  </si>
  <si>
    <t xml:space="preserve">https://adwords.google.com</t>
  </si>
  <si>
    <t xml:space="preserve">2011-2014</t>
  </si>
  <si>
    <t xml:space="preserve">Plan para el Desarrollo Turístico Región Metropolitana</t>
  </si>
  <si>
    <t xml:space="preserve">http://www.sernatur.cl/planes-regionales-de-desarrollo-turistico</t>
  </si>
  <si>
    <t xml:space="preserve">DIPRES - Informe Ejecución Programa Cuarto Trimestre</t>
  </si>
  <si>
    <t xml:space="preserve">http://www.dipres.gob.cl/574/propertyvalue-14273.html</t>
  </si>
  <si>
    <t xml:space="preserve">MOP - Informe de Ejecución Presupuestaria</t>
  </si>
  <si>
    <t xml:space="preserve">http://www.dirplan.cl/InformaciondePresupuestoMOP/informedeejecucionpresupuestaria/Paginas/default.aspx</t>
  </si>
  <si>
    <t xml:space="preserve">Promedio 2011-2010</t>
  </si>
  <si>
    <t xml:space="preserve">SUBDERE - Informe de Ejecución Presupuestaria Fondo Nacional Desarrollo Nacional al 31 de Diciembre del 2011</t>
  </si>
  <si>
    <t xml:space="preserve">http://www.subdere.cl/documentacion/fndr-ejecuci%C3%B3n-presupuestaria-al-31-de-diciembre-de-2011</t>
  </si>
  <si>
    <t xml:space="preserve">Desde 2000 hasta 2030</t>
  </si>
  <si>
    <t xml:space="preserve">SUBDERE - Estrategias Regionales de Desarrollo (ERD)</t>
  </si>
  <si>
    <t xml:space="preserve">http://www.subdere.gov.cl/documentacion/estrategias-regionales-de-desarrollo</t>
  </si>
  <si>
    <t xml:space="preserve">45 of 50 indicators carry a numeric year (2004–2012); 37 are dated 2010 or 2011. Type codes run VA → VI → VP → VPP within each dimension; all five D10 variables are VPP.</t>
  </si>
  <si>
    <t xml:space="preserve">year</t>
  </si>
  <si>
    <t xml:space="preserve">quarter</t>
  </si>
  <si>
    <t xml:space="preserve">period_label</t>
  </si>
  <si>
    <t xml:space="preserve">national_arrivals</t>
  </si>
  <si>
    <t xml:space="preserve">avg_length_of_stay_nights</t>
  </si>
  <si>
    <t xml:space="preserve">data_quality_note</t>
  </si>
  <si>
    <t xml:space="preserve">Q1</t>
  </si>
  <si>
    <t xml:space="preserve">Q3</t>
  </si>
  <si>
    <t xml:space="preserve">2019-Q3</t>
  </si>
  <si>
    <t xml:space="preserve">2023-Q3</t>
  </si>
  <si>
    <t xml:space="preserve">Q4</t>
  </si>
  <si>
    <t xml:space="preserve">2023-Q4</t>
  </si>
  <si>
    <t xml:space="preserve">2022-Q4</t>
  </si>
  <si>
    <t xml:space="preserve">2021-Q1</t>
  </si>
  <si>
    <t xml:space="preserve">Q2</t>
  </si>
  <si>
    <t xml:space="preserve">2021-Q2</t>
  </si>
  <si>
    <t xml:space="preserve">2022-Q3</t>
  </si>
  <si>
    <t xml:space="preserve">2024-Q3</t>
  </si>
  <si>
    <t xml:space="preserve">2023-Q2</t>
  </si>
  <si>
    <t xml:space="preserve">2020-Q4</t>
  </si>
  <si>
    <t xml:space="preserve">2024-Q2</t>
  </si>
  <si>
    <t xml:space="preserve">2021-Q4</t>
  </si>
  <si>
    <t xml:space="preserve">2020-Q1</t>
  </si>
  <si>
    <t xml:space="preserve">Región Metropolitana (RM)</t>
  </si>
  <si>
    <t xml:space="preserve">2019-Q1</t>
  </si>
  <si>
    <t xml:space="preserve">2020-Q3</t>
  </si>
  <si>
    <t xml:space="preserve">2019-Q2</t>
  </si>
  <si>
    <t xml:space="preserve">2021-Q3</t>
  </si>
  <si>
    <t xml:space="preserve">2022-Q2</t>
  </si>
  <si>
    <t xml:space="preserve">2023-Q1</t>
  </si>
  <si>
    <t xml:space="preserve">2024-Q1</t>
  </si>
  <si>
    <t xml:space="preserve">2022-Q1</t>
  </si>
  <si>
    <t xml:space="preserve">2019-Q4</t>
  </si>
  <si>
    <t xml:space="preserve">2020-Q2</t>
  </si>
  <si>
    <t xml:space="preserve">Araucania</t>
  </si>
  <si>
    <t xml:space="preserve">Araucanía 2022-Q4 occupancy set to missing (source value 104.5% is impossible)</t>
  </si>
  <si>
    <t xml:space="preserve">Aysén 2020-Q1 international arrivals set to missing (source value -3,148)</t>
  </si>
  <si>
    <t xml:space="preserve">as_of_year</t>
  </si>
  <si>
    <t xml:space="preserve">fixed_broadband_penetration_pct</t>
  </si>
  <si>
    <t xml:space="preserve">mobile_4g5g_coverage_pct</t>
  </si>
  <si>
    <t xml:space="preserve">ecommerce_adoption_pct_smes</t>
  </si>
  <si>
    <t xml:space="preserve">digital_payments_adoption_pct</t>
  </si>
  <si>
    <t xml:space="preserve">ai_analytics_maturity_index_1to5</t>
  </si>
  <si>
    <t xml:space="preserve">tourism_tech_startups_count</t>
  </si>
  <si>
    <t xml:space="preserve">rd_investment_million_usd</t>
  </si>
  <si>
    <t xml:space="preserve">digital_tourism_platforms_listed_count</t>
  </si>
  <si>
    <t xml:space="preserve">ai_workforce_pct_of_tourism_workforce</t>
  </si>
  <si>
    <t xml:space="preserve">record_type</t>
  </si>
  <si>
    <t xml:space="preserve">record_id</t>
  </si>
  <si>
    <t xml:space="preserve">platform</t>
  </si>
  <si>
    <t xml:space="preserve">occupancy_pct</t>
  </si>
  <si>
    <t xml:space="preserve">review_score</t>
  </si>
  <si>
    <t xml:space="preserve">review_count</t>
  </si>
  <si>
    <t xml:space="preserve">online_travel_platform_snapshot</t>
  </si>
  <si>
    <t xml:space="preserve">BookNow</t>
  </si>
  <si>
    <t xml:space="preserve">StaySouth</t>
  </si>
  <si>
    <t xml:space="preserve">source</t>
  </si>
  <si>
    <t xml:space="preserve">sentiment_score</t>
  </si>
  <si>
    <t xml:space="preserve">mention_count</t>
  </si>
  <si>
    <t xml:space="preserve">top_keywords</t>
  </si>
  <si>
    <t xml:space="preserve">flagged_complaints</t>
  </si>
  <si>
    <t xml:space="preserve">social_media_sentiment</t>
  </si>
  <si>
    <t xml:space="preserve">Instagram</t>
  </si>
  <si>
    <t xml:space="preserve">[{"keyword": "indigenous culture", "count": 176}, {"keyword": "hiking trails", "count": 317}, {"keyword": "local markets", "count": 391}, {"keyword": "safety", "count": 13}]</t>
  </si>
  <si>
    <t xml:space="preserve">[{"keyword": "hot springs", "count": 9}, {"keyword": "festivals", "count": 391}, {"keyword": "public transport", "count": 377}, {"keyword": "beaches", "count": 161}]</t>
  </si>
  <si>
    <t xml:space="preserve">[{"keyword": "local markets", "count": 342}, {"keyword": "beaches", "count": 22}, {"keyword": "whale watching", "count": 369}]</t>
  </si>
  <si>
    <t xml:space="preserve">[{"keyword": "beaches", "count": 399}, {"keyword": "whale watching", "count": 127}, {"keyword": "indigenous culture", "count": 263}, {"keyword": "hot springs", "count": 247}]</t>
  </si>
  <si>
    <t xml:space="preserve">[{"keyword": "national parks", "count": 190}, {"keyword": "safety", "count": 30}, {"keyword": "cleanliness", "count": 187}]</t>
  </si>
  <si>
    <t xml:space="preserve">[{"keyword": "public transport", "count": 236}, {"keyword": "hiking trails", "count": 229}, {"keyword": "beaches", "count": 141}, {"keyword": "glaciers", "count": 302}, {"keyword": "national parks", "count": 148}]</t>
  </si>
  <si>
    <t xml:space="preserve">[{"keyword": "desert stargazing", "count": 68}, {"keyword": "cleanliness", "count": 247}, {"keyword": "hiking trails", "count": 252}]</t>
  </si>
  <si>
    <t xml:space="preserve">["cleanliness near terminals", "price transparency"]</t>
  </si>
  <si>
    <t xml:space="preserve">[{"keyword": "volcano trekking", "count": 271}, {"keyword": "beaches", "count": 114}, {"keyword": "wine tours", "count": 211}]</t>
  </si>
  <si>
    <t xml:space="preserve">TripAdvisor</t>
  </si>
  <si>
    <t xml:space="preserve">[{"keyword": "street art", "count": 106}, {"keyword": "wine tours", "count": 198}, {"keyword": "glaciers", "count": 311}, {"keyword": "astronomy tourism", "count": 344}]</t>
  </si>
  <si>
    <t xml:space="preserve">[{"keyword": "wine tours", "count": 311}, {"keyword": "local markets", "count": 42}, {"keyword": "astronomy tourism", "count": 289}, {"keyword": "beaches", "count": 206}]</t>
  </si>
  <si>
    <t xml:space="preserve">["transport connections", "wifi reliability"]</t>
  </si>
  <si>
    <t xml:space="preserve">[{"keyword": "volcano trekking", "count": 27}, {"keyword": "desert stargazing", "count": 376}, {"keyword": "safety", "count": 315}, {"keyword": "seafood", "count": 6}]</t>
  </si>
  <si>
    <t xml:space="preserve">[{"keyword": "local markets", "count": 255}, {"keyword": "wine tours", "count": 163}, {"keyword": "national parks", "count": 327}, {"keyword": "safety", "count": 30}, {"keyword": "seafood", "count": 383}]</t>
  </si>
  <si>
    <t xml:space="preserve">["price transparency"]</t>
  </si>
  <si>
    <t xml:space="preserve">[{"keyword": "public transport", "count": 92}, {"keyword": "local markets", "count": 87}, {"keyword": "desert stargazing", "count": 246}, {"keyword": "hot springs", "count": 287}, {"keyword": "cleanliness", "count": 398}]</t>
  </si>
  <si>
    <t xml:space="preserve">[{"keyword": "desert stargazing", "count": 312}, {"keyword": "whale watching", "count": 55}, {"keyword": "wine tours", "count": 337}, {"keyword": "beaches", "count": 354}]</t>
  </si>
  <si>
    <t xml:space="preserve">[{"keyword": "ski resorts", "count": 355}, {"keyword": "astronomy tourism", "count": 325}, {"keyword": "street art", "count": 327}, {"keyword": "glaciers", "count": 192}, {"keyword": "safety", "count": 11}]</t>
  </si>
  <si>
    <t xml:space="preserve">[{"keyword": "indigenous culture", "count": 296}, {"keyword": "seafood", "count": 165}, {"keyword": "whale watching", "count": 282}, {"keyword": "hot springs", "count": 339}, {"keyword": "cleanliness", "count": 25}]</t>
  </si>
  <si>
    <t xml:space="preserve">[{"keyword": "beaches", "count": 224}, {"keyword": "hiking trails", "count": 392}, {"keyword": "whale watching", "count": 115}, {"keyword": "wine tours", "count": 23}, {"keyword": "festivals", "count": 379}]</t>
  </si>
  <si>
    <t xml:space="preserve">[{"keyword": "desert stargazing", "count": 196}, {"keyword": "hot springs", "count": 213}, {"keyword": "signage", "count": 66}, {"keyword": "cleanliness", "count": 76}]</t>
  </si>
  <si>
    <t xml:space="preserve">["overcrowding at peak season"]</t>
  </si>
  <si>
    <t xml:space="preserve">[{"keyword": "beaches", "count": 248}, {"keyword": "local markets", "count": 15}, {"keyword": "cleanliness", "count": 315}, {"keyword": "signage", "count": 216}]</t>
  </si>
  <si>
    <t xml:space="preserve">["signage clarity"]</t>
  </si>
  <si>
    <t xml:space="preserve">[{"keyword": "signage", "count": 21}, {"keyword": "cleanliness", "count": 275}, {"keyword": "volcano trekking", "count": 213}, {"keyword": "hiking trails", "count": 389}]</t>
  </si>
  <si>
    <t xml:space="preserve">[{"keyword": "whale watching", "count": 272}, {"keyword": "signage", "count": 127}, {"keyword": "seafood", "count": 9}]</t>
  </si>
  <si>
    <t xml:space="preserve">["wifi reliability"]</t>
  </si>
  <si>
    <t xml:space="preserve">[{"keyword": "astronomy tourism", "count": 374}, {"keyword": "safety", "count": 132}, {"keyword": "wine tours", "count": 202}]</t>
  </si>
  <si>
    <t xml:space="preserve">[{"keyword": "whale watching", "count": 86}, {"keyword": "hot springs", "count": 170}, {"keyword": "safety", "count": 234}, {"keyword": "local markets", "count": 323}, {"keyword": "festivals", "count": 285}]</t>
  </si>
  <si>
    <t xml:space="preserve">["signage clarity", "cleanliness near terminals"]</t>
  </si>
  <si>
    <t xml:space="preserve">[{"keyword": "signage", "count": 194}, {"keyword": "volcano trekking", "count": 200}, {"keyword": "cleanliness", "count": 179}, {"keyword": "glaciers", "count": 18}, {"keyword": "whale watching", "count": 266}]</t>
  </si>
  <si>
    <t xml:space="preserve">[{"keyword": "astronomy tourism", "count": 167}, {"keyword": "glaciers", "count": 381}, {"keyword": "hot springs", "count": 215}, {"keyword": "whale watching", "count": 116}, {"keyword": "hiking trails", "count": 22}]</t>
  </si>
  <si>
    <t xml:space="preserve">[{"keyword": "seafood", "count": 236}, {"keyword": "desert stargazing", "count": 218}, {"keyword": "ski resorts", "count": 344}]</t>
  </si>
  <si>
    <t xml:space="preserve">["transport connections"]</t>
  </si>
  <si>
    <t xml:space="preserve">[{"keyword": "desert stargazing", "count": 124}, {"keyword": "hot springs", "count": 218}, {"keyword": "wine tours", "count": 369}, {"keyword": "local markets", "count": 340}, {"keyword": "indigenous culture", "count": 121}]</t>
  </si>
  <si>
    <t xml:space="preserve">[{"keyword": "desert stargazing", "count": 94}, {"keyword": "national parks", "count": 308}, {"keyword": "cleanliness", "count": 191}]</t>
  </si>
  <si>
    <t xml:space="preserve">[{"keyword": "whale watching", "count": 86}, {"keyword": "local markets", "count": 51}, {"keyword": "safety", "count": 17}, {"keyword": "national parks", "count": 246}]</t>
  </si>
  <si>
    <t xml:space="preserve">[{"keyword": "glaciers", "count": 182}, {"keyword": "seafood", "count": 393}, {"keyword": "volcano trekking", "count": 326}]</t>
  </si>
  <si>
    <t xml:space="preserve">[{"keyword": "astronomy tourism", "count": 370}, {"keyword": "ski resorts", "count": 274}, {"keyword": "wine tours", "count": 221}, {"keyword": "hot springs", "count": 42}]</t>
  </si>
  <si>
    <t xml:space="preserve">[{"keyword": "desert stargazing", "count": 266}, {"keyword": "public transport", "count": 9}, {"keyword": "ski resorts", "count": 102}]</t>
  </si>
  <si>
    <t xml:space="preserve">[{"keyword": "desert stargazing", "count": 163}, {"keyword": "seafood", "count": 286}, {"keyword": "signage", "count": 163}, {"keyword": "national parks", "count": 271}, {"keyword": "public transport", "count": 305}]</t>
  </si>
  <si>
    <t xml:space="preserve">["signage clarity", "overcrowding at peak season"]</t>
  </si>
  <si>
    <t xml:space="preserve">[{"keyword": "festivals", "count": 96}, {"keyword": "desert stargazing", "count": 239}, {"keyword": "ski resorts", "count": 47}]</t>
  </si>
  <si>
    <t xml:space="preserve">[{"keyword": "festivals", "count": 196}, {"keyword": "wine tours", "count": 140}, {"keyword": "public transport", "count": 135}, {"keyword": "safety", "count": 294}, {"keyword": "local markets", "count": 114}]</t>
  </si>
  <si>
    <t xml:space="preserve">[{"keyword": "whale watching", "count": 312}, {"keyword": "beaches", "count": 330}, {"keyword": "safety", "count": 145}, {"keyword": "cleanliness", "count": 175}]</t>
  </si>
  <si>
    <t xml:space="preserve">[{"keyword": "volcano trekking", "count": 278}, {"keyword": "cleanliness", "count": 90}, {"keyword": "desert stargazing", "count": 296}, {"keyword": "public transport", "count": 366}]</t>
  </si>
  <si>
    <t xml:space="preserve">["price transparency", "overcrowding at peak season"]</t>
  </si>
  <si>
    <t xml:space="preserve">[{"keyword": "cleanliness", "count": 93}, {"keyword": "hot springs", "count": 157}, {"keyword": "national parks", "count": 331}, {"keyword": "volcano trekking", "count": 201}, {"keyword": "seafood", "count": 252}]</t>
  </si>
  <si>
    <t xml:space="preserve">[{"keyword": "local markets", "count": 380}, {"keyword": "festivals", "count": 121}, {"keyword": "volcano trekking", "count": 34}]</t>
  </si>
  <si>
    <t xml:space="preserve">[{"keyword": "public transport", "count": 12}, {"keyword": "beaches", "count": 206}, {"keyword": "signage", "count": 83}]</t>
  </si>
  <si>
    <t xml:space="preserve">[{"keyword": "safety", "count": 259}, {"keyword": "whale watching", "count": 77}, {"keyword": "astronomy tourism", "count": 323}, {"keyword": "festivals", "count": 256}]</t>
  </si>
  <si>
    <t xml:space="preserve">[{"keyword": "volcano trekking", "count": 141}, {"keyword": "seafood", "count": 346}, {"keyword": "safety", "count": 244}, {"keyword": "wine tours", "count": 134}, {"keyword": "hiking trails", "count": 254}]</t>
  </si>
  <si>
    <t xml:space="preserve">[{"keyword": "wine tours", "count": 201}, {"keyword": "beaches", "count": 108}, {"keyword": "cleanliness", "count": 312}, {"keyword": "hot springs", "count": 377}]</t>
  </si>
  <si>
    <t xml:space="preserve">[{"keyword": "national parks", "count": 363}, {"keyword": "volcano trekking", "count": 355}, {"keyword": "whale watching", "count": 72}, {"keyword": "signage", "count": 200}, {"keyword": "street art", "count": 134}]</t>
  </si>
  <si>
    <t xml:space="preserve">[{"keyword": "local markets", "count": 178}, {"keyword": "beaches", "count": 108}, {"keyword": "desert stargazing", "count": 309}]</t>
  </si>
  <si>
    <t xml:space="preserve">["overcrowding at peak season", "transport connections"]</t>
  </si>
  <si>
    <t xml:space="preserve">[{"keyword": "seafood", "count": 124}, {"keyword": "glaciers", "count": 313}, {"keyword": "national parks", "count": 349}, {"keyword": "public transport", "count": 312}]</t>
  </si>
  <si>
    <t xml:space="preserve">[{"keyword": "street art", "count": 341}, {"keyword": "safety", "count": 173}, {"keyword": "ski resorts", "count": 48}, {"keyword": "national parks", "count": 109}]</t>
  </si>
  <si>
    <t xml:space="preserve">[{"keyword": "seafood", "count": 351}, {"keyword": "festivals", "count": 44}, {"keyword": "national parks", "count": 113}]</t>
  </si>
  <si>
    <t xml:space="preserve">[{"keyword": "whale watching", "count": 25}, {"keyword": "beaches", "count": 61}, {"keyword": "festivals", "count": 117}]</t>
  </si>
  <si>
    <t xml:space="preserve">[{"keyword": "national parks", "count": 387}, {"keyword": "whale watching", "count": 371}, {"keyword": "festivals", "count": 126}, {"keyword": "hiking trails", "count": 317}, {"keyword": "cleanliness", "count": 275}]</t>
  </si>
  <si>
    <t xml:space="preserve">[{"keyword": "national parks", "count": 361}, {"keyword": "glaciers", "count": 305}, {"keyword": "festivals", "count": 48}]</t>
  </si>
  <si>
    <t xml:space="preserve">[{"keyword": "ski resorts", "count": 76}, {"keyword": "indigenous culture", "count": 387}, {"keyword": "hot springs", "count": 172}, {"keyword": "glaciers", "count": 271}, {"keyword": "hiking trails", "count": 21}]</t>
  </si>
  <si>
    <t xml:space="preserve">[{"keyword": "street art", "count": 281}, {"keyword": "public transport", "count": 156}, {"keyword": "signage", "count": 118}, {"keyword": "volcano trekking", "count": 107}, {"keyword": "glaciers", "count": 39}]</t>
  </si>
  <si>
    <t xml:space="preserve">[{"keyword": "festivals", "count": 56}, {"keyword": "street art", "count": 232}, {"keyword": "ski resorts", "count": 379}, {"keyword": "astronomy tourism", "count": 89}, {"keyword": "indigenous culture", "count": 243}]</t>
  </si>
  <si>
    <t xml:space="preserve">[{"keyword": "festivals", "count": 396}, {"keyword": "local markets", "count": 278}, {"keyword": "beaches", "count": 162}, {"keyword": "safety", "count": 332}, {"keyword": "signage", "count": 39}]</t>
  </si>
  <si>
    <t xml:space="preserve">[{"keyword": "local markets", "count": 366}, {"keyword": "desert stargazing", "count": 305}, {"keyword": "cleanliness", "count": 189}]</t>
  </si>
  <si>
    <t xml:space="preserve">["overcrowding at peak season", "signage clarity"]</t>
  </si>
  <si>
    <t xml:space="preserve">[{"keyword": "glaciers", "count": 57}, {"keyword": "volcano trekking", "count": 308}, {"keyword": "cleanliness", "count": 358}, {"keyword": "beaches", "count": 125}]</t>
  </si>
  <si>
    <t xml:space="preserve">[{"keyword": "volcano trekking", "count": 290}, {"keyword": "local markets", "count": 232}, {"keyword": "public transport", "count": 191}, {"keyword": "glaciers", "count": 207}, {"keyword": "astronomy tourism", "count": 31}]</t>
  </si>
  <si>
    <t xml:space="preserve">["transport connections", "price transparency"]</t>
  </si>
  <si>
    <t xml:space="preserve">[{"keyword": "beaches", "count": 141}, {"keyword": "cleanliness", "count": 233}, {"keyword": "national parks", "count": 341}, {"keyword": "local markets", "count": 167}]</t>
  </si>
  <si>
    <t xml:space="preserve">[{"keyword": "indigenous culture", "count": 332}, {"keyword": "national parks", "count": 358}, {"keyword": "ski resorts", "count": 274}]</t>
  </si>
  <si>
    <t xml:space="preserve">[{"keyword": "wine tours", "count": 273}, {"keyword": "desert stargazing", "count": 200}, {"keyword": "public transport", "count": 298}]</t>
  </si>
  <si>
    <t xml:space="preserve">[{"keyword": "wine tours", "count": 376}, {"keyword": "cleanliness", "count": 238}, {"keyword": "volcano trekking", "count": 30}, {"keyword": "hot springs", "count": 208}, {"keyword": "hiking trails", "count": 7}]</t>
  </si>
  <si>
    <t xml:space="preserve">[{"keyword": "indigenous culture", "count": 82}, {"keyword": "national parks", "count": 74}, {"keyword": "ski resorts", "count": 368}, {"keyword": "desert stargazing", "count": 373}]</t>
  </si>
  <si>
    <t xml:space="preserve">[{"keyword": "hot springs", "count": 280}, {"keyword": "street art", "count": 289}, {"keyword": "cleanliness", "count": 76}, {"keyword": "glaciers", "count": 346}]</t>
  </si>
  <si>
    <t xml:space="preserve">[{"keyword": "festivals", "count": 42}, {"keyword": "ski resorts", "count": 165}, {"keyword": "glaciers", "count": 157}]</t>
  </si>
  <si>
    <t xml:space="preserve">[{"keyword": "desert stargazing", "count": 50}, {"keyword": "cleanliness", "count": 72}, {"keyword": "street art", "count": 159}, {"keyword": "astronomy tourism", "count": 91}]</t>
  </si>
  <si>
    <t xml:space="preserve">[{"keyword": "festivals", "count": 381}, {"keyword": "hiking trails", "count": 119}, {"keyword": "street art", "count": 350}]</t>
  </si>
  <si>
    <t xml:space="preserve">["cleanliness near terminals"]</t>
  </si>
  <si>
    <t xml:space="preserve">[{"keyword": "hiking trails", "count": 256}, {"keyword": "volcano trekking", "count": 271}, {"keyword": "whale watching", "count": 91}, {"keyword": "cleanliness", "count": 117}, {"keyword": "national parks", "count": 173}]</t>
  </si>
  <si>
    <t xml:space="preserve">["wifi reliability", "transport connections"]</t>
  </si>
  <si>
    <t xml:space="preserve">[{"keyword": "cleanliness", "count": 311}, {"keyword": "desert stargazing", "count": 350}, {"keyword": "ski resorts", "count": 33}, {"keyword": "signage", "count": 61}, {"keyword": "hiking trails", "count": 309}]</t>
  </si>
  <si>
    <t xml:space="preserve">[{"keyword": "glaciers", "count": 295}, {"keyword": "wine tours", "count": 225}, {"keyword": "whale watching", "count": 91}, {"keyword": "hot springs", "count": 176}, {"keyword": "signage", "count": 266}]</t>
  </si>
  <si>
    <t xml:space="preserve">[{"keyword": "wine tours", "count": 321}, {"keyword": "hiking trails", "count": 272}, {"keyword": "hot springs", "count": 137}, {"keyword": "desert stargazing", "count": 328}]</t>
  </si>
  <si>
    <t xml:space="preserve">[{"keyword": "signage", "count": 99}, {"keyword": "indigenous culture", "count": 342}, {"keyword": "seafood", "count": 396}]</t>
  </si>
  <si>
    <t xml:space="preserve">["cleanliness near terminals", "overcrowding at peak season"]</t>
  </si>
  <si>
    <t xml:space="preserve">[{"keyword": "public transport", "count": 181}, {"keyword": "whale watching", "count": 208}, {"keyword": "safety", "count": 170}]</t>
  </si>
  <si>
    <t xml:space="preserve">[{"keyword": "beaches", "count": 382}, {"keyword": "signage", "count": 201}, {"keyword": "hiking trails", "count": 197}, {"keyword": "street art", "count": 260}]</t>
  </si>
  <si>
    <t xml:space="preserve">["price transparency", "cleanliness near terminals"]</t>
  </si>
  <si>
    <t xml:space="preserve">[{"keyword": "cleanliness", "count": 305}, {"keyword": "street art", "count": 334}, {"keyword": "hot springs", "count": 336}, {"keyword": "desert stargazing", "count": 228}, {"keyword": "local markets", "count": 74}]</t>
  </si>
  <si>
    <t xml:space="preserve">[{"keyword": "astronomy tourism", "count": 176}, {"keyword": "volcano trekking", "count": 51}, {"keyword": "public transport", "count": 281}, {"keyword": "cleanliness", "count": 43}]</t>
  </si>
  <si>
    <t xml:space="preserve">[{"keyword": "hiking trails", "count": 52}, {"keyword": "safety", "count": 324}, {"keyword": "local markets", "count": 190}, {"keyword": "festivals", "count": 372}]</t>
  </si>
  <si>
    <t xml:space="preserve">[{"keyword": "ski resorts", "count": 16}, {"keyword": "public transport", "count": 47}, {"keyword": "national parks", "count": 339}, {"keyword": "glaciers", "count": 220}]</t>
  </si>
  <si>
    <t xml:space="preserve">[{"keyword": "festivals", "count": 32}, {"keyword": "beaches", "count": 35}, {"keyword": "hot springs", "count": 43}, {"keyword": "street art", "count": 187}]</t>
  </si>
  <si>
    <t xml:space="preserve">[{"keyword": "glaciers", "count": 99}, {"keyword": "cleanliness", "count": 146}, {"keyword": "hot springs", "count": 103}, {"keyword": "public transport", "count": 346}]</t>
  </si>
  <si>
    <t xml:space="preserve">["wifi reliability", "signage clarity"]</t>
  </si>
  <si>
    <t xml:space="preserve">[{"keyword": "local markets", "count": 376}, {"keyword": "safety", "count": 364}, {"keyword": "astronomy tourism", "count": 229}]</t>
  </si>
  <si>
    <t xml:space="preserve">[{"keyword": "hiking trails", "count": 190}, {"keyword": "local markets", "count": 169}, {"keyword": "hot springs", "count": 111}]</t>
  </si>
  <si>
    <t xml:space="preserve">[{"keyword": "whale watching", "count": 24}, {"keyword": "signage", "count": 87}, {"keyword": "beaches", "count": 142}]</t>
  </si>
  <si>
    <t xml:space="preserve">[{"keyword": "indigenous culture", "count": 167}, {"keyword": "desert stargazing", "count": 196}, {"keyword": "seafood", "count": 335}, {"keyword": "ski resorts", "count": 91}]</t>
  </si>
  <si>
    <t xml:space="preserve">[{"keyword": "beaches", "count": 194}, {"keyword": "glaciers", "count": 90}, {"keyword": "astronomy tourism", "count": 389}, {"keyword": "hiking trails", "count": 88}]</t>
  </si>
  <si>
    <t xml:space="preserve">[{"keyword": "volcano trekking", "count": 124}, {"keyword": "desert stargazing", "count": 232}, {"keyword": "public transport", "count": 115}, {"keyword": "national parks", "count": 354}, {"keyword": "beaches", "count": 11}]</t>
  </si>
  <si>
    <t xml:space="preserve">[{"keyword": "volcano trekking", "count": 271}, {"keyword": "whale watching", "count": 21}, {"keyword": "street art", "count": 14}]</t>
  </si>
  <si>
    <t xml:space="preserve">[{"keyword": "national parks", "count": 197}, {"keyword": "beaches", "count": 299}, {"keyword": "public transport", "count": 361}, {"keyword": "festivals", "count": 279}]</t>
  </si>
  <si>
    <t xml:space="preserve">[{"keyword": "beaches", "count": 283}, {"keyword": "ski resorts", "count": 231}, {"keyword": "local markets", "count": 338}]</t>
  </si>
  <si>
    <t xml:space="preserve">[{"keyword": "hiking trails", "count": 10}, {"keyword": "ski resorts", "count": 111}, {"keyword": "seafood", "count": 112}, {"keyword": "signage", "count": 343}, {"keyword": "indigenous culture", "count": 345}]</t>
  </si>
  <si>
    <t xml:space="preserve">[{"keyword": "signage", "count": 20}, {"keyword": "astronomy tourism", "count": 373}, {"keyword": "whale watching", "count": 306}]</t>
  </si>
  <si>
    <t xml:space="preserve">[{"keyword": "national parks", "count": 66}, {"keyword": "glaciers", "count": 317}, {"keyword": "safety", "count": 24}, {"keyword": "whale watching", "count": 58}, {"keyword": "beaches", "count": 388}]</t>
  </si>
  <si>
    <t xml:space="preserve">["price transparency", "wifi reliability"]</t>
  </si>
  <si>
    <t xml:space="preserve">[{"keyword": "astronomy tourism", "count": 20}, {"keyword": "public transport", "count": 176}, {"keyword": "desert stargazing", "count": 201}, {"keyword": "hiking trails", "count": 286}]</t>
  </si>
  <si>
    <t xml:space="preserve">[{"keyword": "volcano trekking", "count": 29}, {"keyword": "hiking trails", "count": 16}, {"keyword": "safety", "count": 308}, {"keyword": "seafood", "count": 35}]</t>
  </si>
  <si>
    <t xml:space="preserve">[{"keyword": "cleanliness", "count": 91}, {"keyword": "safety", "count": 128}, {"keyword": "signage", "count": 63}, {"keyword": "ski resorts", "count": 398}, {"keyword": "whale watching", "count": 85}]</t>
  </si>
  <si>
    <t xml:space="preserve">[{"keyword": "public transport", "count": 281}, {"keyword": "signage", "count": 156}, {"keyword": "street art", "count": 131}, {"keyword": "wine tours", "count": 316}, {"keyword": "seafood", "count": 114}]</t>
  </si>
  <si>
    <t xml:space="preserve">[{"keyword": "hot springs", "count": 383}, {"keyword": "beaches", "count": 209}, {"keyword": "festivals", "count": 60}, {"keyword": "hiking trails", "count": 135}]</t>
  </si>
  <si>
    <t xml:space="preserve">[{"keyword": "seafood", "count": 176}, {"keyword": "whale watching", "count": 13}, {"keyword": "hiking trails", "count": 117}, {"keyword": "volcano trekking", "count": 69}, {"keyword": "beaches", "count": 117}]</t>
  </si>
  <si>
    <t xml:space="preserve">[{"keyword": "seafood", "count": 48}, {"keyword": "hiking trails", "count": 346}, {"keyword": "beaches", "count": 261}, {"keyword": "ski resorts", "count": 351}]</t>
  </si>
  <si>
    <t xml:space="preserve">[{"keyword": "safety", "count": 83}, {"keyword": "whale watching", "count": 35}, {"keyword": "cleanliness", "count": 307}, {"keyword": "indigenous culture", "count": 301}]</t>
  </si>
  <si>
    <t xml:space="preserve">[{"keyword": "indigenous culture", "count": 9}, {"keyword": "festivals", "count": 259}, {"keyword": "hiking trails", "count": 145}, {"keyword": "wine tours", "count": 378}]</t>
  </si>
  <si>
    <t xml:space="preserve">[{"keyword": "hiking trails", "count": 49}, {"keyword": "glaciers", "count": 282}, {"keyword": "hot springs", "count": 396}, {"keyword": "beaches", "count": 149}]</t>
  </si>
  <si>
    <t xml:space="preserve">[{"keyword": "astronomy tourism", "count": 134}, {"keyword": "hiking trails", "count": 320}, {"keyword": "local markets", "count": 160}]</t>
  </si>
  <si>
    <t xml:space="preserve">[{"keyword": "ski resorts", "count": 213}, {"keyword": "national parks", "count": 90}, {"keyword": "public transport", "count": 384}, {"keyword": "hiking trails", "count": 341}, {"keyword": "desert stargazing", "count": 102}]</t>
  </si>
  <si>
    <t xml:space="preserve">[{"keyword": "national parks", "count": 359}, {"keyword": "glaciers", "count": 267}, {"keyword": "desert stargazing", "count": 37}, {"keyword": "ski resorts", "count": 194}, {"keyword": "beaches", "count": 6}]</t>
  </si>
  <si>
    <t xml:space="preserve">["wifi reliability", "overcrowding at peak season"]</t>
  </si>
  <si>
    <t xml:space="preserve">[{"keyword": "ski resorts", "count": 180}, {"keyword": "street art", "count": 47}, {"keyword": "festivals", "count": 102}, {"keyword": "hiking trails", "count": 203}]</t>
  </si>
  <si>
    <t xml:space="preserve">[{"keyword": "festivals", "count": 88}, {"keyword": "street art", "count": 305}, {"keyword": "indigenous culture", "count": 45}, {"keyword": "whale watching", "count": 350}]</t>
  </si>
  <si>
    <t xml:space="preserve">[{"keyword": "public transport", "count": 9}, {"keyword": "cleanliness", "count": 292}, {"keyword": "glaciers", "count": 212}]</t>
  </si>
  <si>
    <t xml:space="preserve">[{"keyword": "indigenous culture", "count": 232}, {"keyword": "signage", "count": 259}, {"keyword": "desert stargazing", "count": 172}, {"keyword": "astronomy tourism", "count": 341}, {"keyword": "volcano trekking", "count": 215}]</t>
  </si>
  <si>
    <t xml:space="preserve">[{"keyword": "signage", "count": 68}, {"keyword": "wine tours", "count": 242}, {"keyword": "ski resorts", "count": 102}, {"keyword": "local markets", "count": 384}]</t>
  </si>
  <si>
    <t xml:space="preserve">[{"keyword": "national parks", "count": 94}, {"keyword": "volcano trekking", "count": 15}, {"keyword": "signage", "count": 83}]</t>
  </si>
  <si>
    <t xml:space="preserve">[{"keyword": "street art", "count": 76}, {"keyword": "glaciers", "count": 89}, {"keyword": "desert stargazing", "count": 213}, {"keyword": "beaches", "count": 378}]</t>
  </si>
  <si>
    <t xml:space="preserve">[{"keyword": "festivals", "count": 30}, {"keyword": "indigenous culture", "count": 318}, {"keyword": "signage", "count": 26}, {"keyword": "safety", "count": 181}, {"keyword": "whale watching", "count": 271}]</t>
  </si>
  <si>
    <t xml:space="preserve">[{"keyword": "seafood", "count": 139}, {"keyword": "signage", "count": 59}, {"keyword": "safety", "count": 89}, {"keyword": "whale watching", "count": 121}, {"keyword": "cleanliness", "count": 198}]</t>
  </si>
  <si>
    <t xml:space="preserve">[{"keyword": "ski resorts", "count": 268}, {"keyword": "hot springs", "count": 143}, {"keyword": "hiking trails", "count": 269}, {"keyword": "whale watching", "count": 298}]</t>
  </si>
  <si>
    <t xml:space="preserve">[{"keyword": "wine tours", "count": 337}, {"keyword": "seafood", "count": 24}, {"keyword": "signage", "count": 127}]</t>
  </si>
  <si>
    <t xml:space="preserve">[{"keyword": "safety", "count": 291}, {"keyword": "festivals", "count": 212}, {"keyword": "hot springs", "count": 166}]</t>
  </si>
  <si>
    <t xml:space="preserve">[{"keyword": "safety", "count": 100}, {"keyword": "public transport", "count": 255}, {"keyword": "volcano trekking", "count": 226}, {"keyword": "national parks", "count": 7}, {"keyword": "seafood", "count": 20}]</t>
  </si>
  <si>
    <t xml:space="preserve">[{"keyword": "volcano trekking", "count": 92}, {"keyword": "public transport", "count": 102}, {"keyword": "astronomy tourism", "count": 256}]</t>
  </si>
  <si>
    <t xml:space="preserve">["overcrowding at peak season", "wifi reliability"]</t>
  </si>
  <si>
    <t xml:space="preserve">[{"keyword": "festivals", "count": 254}, {"keyword": "hiking trails", "count": 326}, {"keyword": "signage", "count": 344}]</t>
  </si>
  <si>
    <t xml:space="preserve">[{"keyword": "wine tours", "count": 202}, {"keyword": "street art", "count": 290}, {"keyword": "public transport", "count": 90}, {"keyword": "beaches", "count": 350}]</t>
  </si>
  <si>
    <t xml:space="preserve">[{"keyword": "desert stargazing", "count": 330}, {"keyword": "safety", "count": 73}, {"keyword": "national parks", "count": 366}, {"keyword": "signage", "count": 379}, {"keyword": "beaches", "count": 19}]</t>
  </si>
  <si>
    <t xml:space="preserve">[{"keyword": "national parks", "count": 374}, {"keyword": "volcano trekking", "count": 70}, {"keyword": "desert stargazing", "count": 244}, {"keyword": "cleanliness", "count": 174}]</t>
  </si>
  <si>
    <t xml:space="preserve">[{"keyword": "hiking trails", "count": 35}, {"keyword": "public transport", "count": 192}, {"keyword": "seafood", "count": 28}]</t>
  </si>
  <si>
    <t xml:space="preserve">[{"keyword": "public transport", "count": 22}, {"keyword": "hiking trails", "count": 238}, {"keyword": "seafood", "count": 34}, {"keyword": "wine tours", "count": 314}]</t>
  </si>
  <si>
    <t xml:space="preserve">[{"keyword": "public transport", "count": 27}, {"keyword": "indigenous culture", "count": 343}, {"keyword": "astronomy tourism", "count": 374}]</t>
  </si>
  <si>
    <t xml:space="preserve">[{"keyword": "safety", "count": 392}, {"keyword": "seafood", "count": 254}, {"keyword": "national parks", "count": 170}]</t>
  </si>
  <si>
    <t xml:space="preserve">[{"keyword": "festivals", "count": 260}, {"keyword": "indigenous culture", "count": 179}, {"keyword": "safety", "count": 78}, {"keyword": "national parks", "count": 128}, {"keyword": "cleanliness", "count": 278}]</t>
  </si>
  <si>
    <t xml:space="preserve">["signage clarity", "wifi reliability"]</t>
  </si>
  <si>
    <t xml:space="preserve">[{"keyword": "national parks", "count": 231}, {"keyword": "beaches", "count": 234}, {"keyword": "local markets", "count": 302}, {"keyword": "seafood", "count": 169}]</t>
  </si>
  <si>
    <t xml:space="preserve">[{"keyword": "indigenous culture", "count": 99}, {"keyword": "hiking trails", "count": 45}, {"keyword": "wine tours", "count": 281}, {"keyword": "hot springs", "count": 380}]</t>
  </si>
  <si>
    <t xml:space="preserve">[{"keyword": "signage", "count": 149}, {"keyword": "whale watching", "count": 26}, {"keyword": "indigenous culture", "count": 360}]</t>
  </si>
  <si>
    <t xml:space="preserve">[{"keyword": "wine tours", "count": 228}, {"keyword": "glaciers", "count": 87}, {"keyword": "beaches", "count": 262}, {"keyword": "signage", "count": 200}, {"keyword": "national parks", "count": 133}]</t>
  </si>
  <si>
    <t xml:space="preserve">["overcrowding at peak season", "cleanliness near terminals"]</t>
  </si>
  <si>
    <t xml:space="preserve">[{"keyword": "national parks", "count": 316}, {"keyword": "hot springs", "count": 27}, {"keyword": "signage", "count": 229}, {"keyword": "festivals", "count": 131}, {"keyword": "street art", "count": 108}]</t>
  </si>
  <si>
    <t xml:space="preserve">[{"keyword": "indigenous culture", "count": 259}, {"keyword": "volcano trekking", "count": 260}, {"keyword": "local markets", "count": 100}, {"keyword": "glaciers", "count": 44}, {"keyword": "cleanliness", "count": 12}]</t>
  </si>
  <si>
    <t xml:space="preserve">[{"keyword": "safety", "count": 263}, {"keyword": "volcano trekking", "count": 70}, {"keyword": "cleanliness", "count": 174}, {"keyword": "festivals", "count": 210}, {"keyword": "hot springs", "count": 316}]</t>
  </si>
  <si>
    <t xml:space="preserve">[{"keyword": "festivals", "count": 28}, {"keyword": "hiking trails", "count": 50}, {"keyword": "glaciers", "count": 50}, {"keyword": "beaches", "count": 199}, {"keyword": "local markets", "count": 134}]</t>
  </si>
  <si>
    <t xml:space="preserve">[{"keyword": "indigenous culture", "count": 189}, {"keyword": "seafood", "count": 239}, {"keyword": "cleanliness", "count": 145}, {"keyword": "desert stargazing", "count": 248}]</t>
  </si>
  <si>
    <t xml:space="preserve">[{"keyword": "festivals", "count": 312}, {"keyword": "indigenous culture", "count": 293}, {"keyword": "hot springs", "count": 35}]</t>
  </si>
  <si>
    <t xml:space="preserve">[{"keyword": "national parks", "count": 318}, {"keyword": "safety", "count": 391}, {"keyword": "street art", "count": 208}]</t>
  </si>
  <si>
    <t xml:space="preserve">[{"keyword": "beaches", "count": 79}, {"keyword": "indigenous culture", "count": 217}, {"keyword": "volcano trekking", "count": 10}]</t>
  </si>
  <si>
    <t xml:space="preserve">[{"keyword": "safety", "count": 23}, {"keyword": "astronomy tourism", "count": 176}, {"keyword": "indigenous culture", "count": 136}, {"keyword": "glaciers", "count": 22}]</t>
  </si>
  <si>
    <t xml:space="preserve">[{"keyword": "festivals", "count": 378}, {"keyword": "signage", "count": 29}, {"keyword": "cleanliness", "count": 327}, {"keyword": "astronomy tourism", "count": 373}]</t>
  </si>
  <si>
    <t xml:space="preserve">[{"keyword": "safety", "count": 159}, {"keyword": "whale watching", "count": 58}, {"keyword": "hiking trails", "count": 33}, {"keyword": "national parks", "count": 68}]</t>
  </si>
  <si>
    <t xml:space="preserve">[{"keyword": "local markets", "count": 322}, {"keyword": "signage", "count": 276}, {"keyword": "hot springs", "count": 186}, {"keyword": "volcano trekking", "count": 147}]</t>
  </si>
  <si>
    <t xml:space="preserve">[{"keyword": "glaciers", "count": 318}, {"keyword": "signage", "count": 115}, {"keyword": "hiking trails", "count": 147}, {"keyword": "street art", "count": 30}, {"keyword": "hot springs", "count": 316}]</t>
  </si>
  <si>
    <t xml:space="preserve">["transport connections", "signage clarity"]</t>
  </si>
  <si>
    <t xml:space="preserve">[{"keyword": "safety", "count": 382}, {"keyword": "beaches", "count": 109}, {"keyword": "public transport", "count": 301}]</t>
  </si>
  <si>
    <t xml:space="preserve">[{"keyword": "hiking trails", "count": 166}, {"keyword": "desert stargazing", "count": 397}, {"keyword": "wine tours", "count": 235}]</t>
  </si>
  <si>
    <t xml:space="preserve">["signage clarity", "transport connections"]</t>
  </si>
  <si>
    <t xml:space="preserve">[{"keyword": "hot springs", "count": 143}, {"keyword": "beaches", "count": 237}, {"keyword": "local markets", "count": 210}]</t>
  </si>
  <si>
    <t xml:space="preserve">[{"keyword": "cleanliness", "count": 64}, {"keyword": "astronomy tourism", "count": 7}, {"keyword": "national parks", "count": 371}, {"keyword": "glaciers", "count": 382}, {"keyword": "wine tours", "count": 213}]</t>
  </si>
  <si>
    <t xml:space="preserve">[{"keyword": "glaciers", "count": 32}, {"keyword": "signage", "count": 295}, {"keyword": "indigenous culture", "count": 173}]</t>
  </si>
  <si>
    <t xml:space="preserve">[{"keyword": "street art", "count": 390}, {"keyword": "glaciers", "count": 387}, {"keyword": "hiking trails", "count": 147}, {"keyword": "cleanliness", "count": 347}, {"keyword": "whale watching", "count": 203}]</t>
  </si>
  <si>
    <t xml:space="preserve">["signage clarity", "price transparency"]</t>
  </si>
  <si>
    <t xml:space="preserve">[{"keyword": "whale watching", "count": 150}, {"keyword": "local markets", "count": 45}, {"keyword": "public transport", "count": 171}, {"keyword": "festivals", "count": 309}]</t>
  </si>
  <si>
    <t xml:space="preserve">[{"keyword": "local markets", "count": 379}, {"keyword": "hiking trails", "count": 198}, {"keyword": "street art", "count": 292}, {"keyword": "hot springs", "count": 358}]</t>
  </si>
  <si>
    <t xml:space="preserve">[{"keyword": "indigenous culture", "count": 120}, {"keyword": "volcano trekking", "count": 344}, {"keyword": "seafood", "count": 252}, {"keyword": "wine tours", "count": 326}, {"keyword": "street art", "count": 202}]</t>
  </si>
  <si>
    <t xml:space="preserve">[{"keyword": "indigenous culture", "count": 301}, {"keyword": "public transport", "count": 137}, {"keyword": "ski resorts", "count": 156}]</t>
  </si>
  <si>
    <t xml:space="preserve">[{"keyword": "street art", "count": 290}, {"keyword": "glaciers", "count": 100}, {"keyword": "astronomy tourism", "count": 78}]</t>
  </si>
  <si>
    <t xml:space="preserve">[{"keyword": "seafood", "count": 53}, {"keyword": "festivals", "count": 281}, {"keyword": "cleanliness", "count": 312}, {"keyword": "indigenous culture", "count": 246}]</t>
  </si>
  <si>
    <t xml:space="preserve">[{"keyword": "festivals", "count": 211}, {"keyword": "ski resorts", "count": 152}, {"keyword": "public transport", "count": 390}]</t>
  </si>
  <si>
    <t xml:space="preserve">[{"keyword": "wine tours", "count": 293}, {"keyword": "beaches", "count": 343}, {"keyword": "whale watching", "count": 278}]</t>
  </si>
  <si>
    <t xml:space="preserve">[{"keyword": "desert stargazing", "count": 26}, {"keyword": "street art", "count": 213}, {"keyword": "astronomy tourism", "count": 384}, {"keyword": "beaches", "count": 383}, {"keyword": "wine tours", "count": 37}]</t>
  </si>
  <si>
    <t xml:space="preserve">[{"keyword": "festivals", "count": 164}, {"keyword": "whale watching", "count": 238}, {"keyword": "ski resorts", "count": 67}, {"keyword": "indigenous culture", "count": 328}]</t>
  </si>
  <si>
    <t xml:space="preserve">[{"keyword": "national parks", "count": 37}, {"keyword": "wine tours", "count": 343}, {"keyword": "hiking trails", "count": 50}]</t>
  </si>
  <si>
    <t xml:space="preserve">[{"keyword": "ski resorts", "count": 63}, {"keyword": "wine tours", "count": 45}, {"keyword": "cleanliness", "count": 306}, {"keyword": "volcano trekking", "count": 53}, {"keyword": "signage", "count": 128}]</t>
  </si>
  <si>
    <t xml:space="preserve">[{"keyword": "street art", "count": 30}, {"keyword": "beaches", "count": 240}, {"keyword": "desert stargazing", "count": 178}]</t>
  </si>
  <si>
    <t xml:space="preserve">[{"keyword": "public transport", "count": 128}, {"keyword": "indigenous culture", "count": 181}, {"keyword": "beaches", "count": 10}]</t>
  </si>
  <si>
    <t xml:space="preserve">[{"keyword": "ski resorts", "count": 58}, {"keyword": "astronomy tourism", "count": 267}, {"keyword": "public transport", "count": 320}]</t>
  </si>
  <si>
    <t xml:space="preserve">[{"keyword": "festivals", "count": 377}, {"keyword": "seafood", "count": 387}, {"keyword": "volcano trekking", "count": 269}, {"keyword": "street art", "count": 65}]</t>
  </si>
  <si>
    <t xml:space="preserve">[{"keyword": "glaciers", "count": 142}, {"keyword": "national parks", "count": 25}, {"keyword": "hiking trails", "count": 220}, {"keyword": "cleanliness", "count": 277}, {"keyword": "hot springs", "count": 387}]</t>
  </si>
  <si>
    <t xml:space="preserve">[{"keyword": "wine tours", "count": 101}, {"keyword": "astronomy tourism", "count": 70}, {"keyword": "street art", "count": 339}, {"keyword": "seafood", "count": 222}, {"keyword": "public transport", "count": 351}]</t>
  </si>
  <si>
    <t xml:space="preserve">[{"keyword": "seafood", "count": 304}, {"keyword": "street art", "count": 211}, {"keyword": "wine tours", "count": 192}]</t>
  </si>
  <si>
    <t xml:space="preserve">[{"keyword": "hiking trails", "count": 197}, {"keyword": "glaciers", "count": 123}, {"keyword": "cleanliness", "count": 379}, {"keyword": "signage", "count": 293}]</t>
  </si>
  <si>
    <t xml:space="preserve">[{"keyword": "national parks", "count": 285}, {"keyword": "street art", "count": 136}, {"keyword": "wine tours", "count": 72}, {"keyword": "public transport", "count": 133}]</t>
  </si>
  <si>
    <t xml:space="preserve">[{"keyword": "public transport", "count": 309}, {"keyword": "street art", "count": 387}, {"keyword": "signage", "count": 227}]</t>
  </si>
  <si>
    <t xml:space="preserve">[{"keyword": "public transport", "count": 69}, {"keyword": "safety", "count": 339}, {"keyword": "hot springs", "count": 177}]</t>
  </si>
  <si>
    <t xml:space="preserve">[{"keyword": "public transport", "count": 332}, {"keyword": "wine tours", "count": 329}, {"keyword": "astronomy tourism", "count": 176}, {"keyword": "seafood", "count": 8}]</t>
  </si>
  <si>
    <t xml:space="preserve">[{"keyword": "volcano trekking", "count": 246}, {"keyword": "hiking trails", "count": 359}, {"keyword": "desert stargazing", "count": 48}]</t>
  </si>
  <si>
    <t xml:space="preserve">[{"keyword": "desert stargazing", "count": 273}, {"keyword": "astronomy tourism", "count": 63}, {"keyword": "volcano trekking", "count": 36}, {"keyword": "street art", "count": 56}]</t>
  </si>
  <si>
    <t xml:space="preserve">[{"keyword": "seafood", "count": 237}, {"keyword": "desert stargazing", "count": 255}, {"keyword": "safety", "count": 58}, {"keyword": "beaches", "count": 235}, {"keyword": "astronomy tourism", "count": 169}]</t>
  </si>
  <si>
    <t xml:space="preserve">[{"keyword": "astronomy tourism", "count": 56}, {"keyword": "desert stargazing", "count": 87}, {"keyword": "whale watching", "count": 98}, {"keyword": "glaciers", "count": 365}, {"keyword": "volcano trekking", "count": 98}]</t>
  </si>
  <si>
    <t xml:space="preserve">[{"keyword": "festivals", "count": 249}, {"keyword": "beaches", "count": 180}, {"keyword": "public transport", "count": 345}, {"keyword": "ski resorts", "count": 138}]</t>
  </si>
  <si>
    <t xml:space="preserve">[{"keyword": "street art", "count": 275}, {"keyword": "volcano trekking", "count": 359}, {"keyword": "festivals", "count": 290}, {"keyword": "public transport", "count": 286}]</t>
  </si>
  <si>
    <t xml:space="preserve">[{"keyword": "ski resorts", "count": 265}, {"keyword": "glaciers", "count": 371}, {"keyword": "beaches", "count": 263}, {"keyword": "festivals", "count": 31}]</t>
  </si>
  <si>
    <t xml:space="preserve">[{"keyword": "street art", "count": 324}, {"keyword": "whale watching", "count": 34}, {"keyword": "national parks", "count": 329}]</t>
  </si>
  <si>
    <t xml:space="preserve">[{"keyword": "national parks", "count": 302}, {"keyword": "safety", "count": 63}, {"keyword": "indigenous culture", "count": 349}]</t>
  </si>
  <si>
    <t xml:space="preserve">[{"keyword": "public transport", "count": 230}, {"keyword": "glaciers", "count": 86}, {"keyword": "signage", "count": 364}, {"keyword": "ski resorts", "count": 232}]</t>
  </si>
  <si>
    <t xml:space="preserve">[{"keyword": "astronomy tourism", "count": 394}, {"keyword": "hot springs", "count": 35}, {"keyword": "national parks", "count": 85}, {"keyword": "wine tours", "count": 53}, {"keyword": "ski resorts", "count": 284}]</t>
  </si>
  <si>
    <t xml:space="preserve">[{"keyword": "public transport", "count": 381}, {"keyword": "whale watching", "count": 233}, {"keyword": "beaches", "count": 191}]</t>
  </si>
  <si>
    <t xml:space="preserve">[{"keyword": "desert stargazing", "count": 120}, {"keyword": "wine tours", "count": 327}, {"keyword": "festivals", "count": 335}, {"keyword": "street art", "count": 26}, {"keyword": "signage", "count": 126}]</t>
  </si>
  <si>
    <t xml:space="preserve">[{"keyword": "local markets", "count": 293}, {"keyword": "glaciers", "count": 25}, {"keyword": "safety", "count": 100}, {"keyword": "desert stargazing", "count": 177}]</t>
  </si>
  <si>
    <t xml:space="preserve">[{"keyword": "astronomy tourism", "count": 252}, {"keyword": "local markets", "count": 11}, {"keyword": "safety", "count": 396}]</t>
  </si>
  <si>
    <t xml:space="preserve">[{"keyword": "street art", "count": 148}, {"keyword": "signage", "count": 146}, {"keyword": "hiking trails", "count": 28}, {"keyword": "seafood", "count": 389}]</t>
  </si>
  <si>
    <t xml:space="preserve">[{"keyword": "wine tours", "count": 66}, {"keyword": "volcano trekking", "count": 366}, {"keyword": "whale watching", "count": 147}]</t>
  </si>
  <si>
    <t xml:space="preserve">[{"keyword": "ski resorts", "count": 161}, {"keyword": "indigenous culture", "count": 122}, {"keyword": "local markets", "count": 96}, {"keyword": "festivals", "count": 71}, {"keyword": "cleanliness", "count": 329}]</t>
  </si>
  <si>
    <t xml:space="preserve">[{"keyword": "public transport", "count": 338}, {"keyword": "astronomy tourism", "count": 136}, {"keyword": "hiking trails", "count": 115}, {"keyword": "whale watching", "count": 337}]</t>
  </si>
  <si>
    <t xml:space="preserve">[{"keyword": "hot springs", "count": 49}, {"keyword": "hiking trails", "count": 144}, {"keyword": "signage", "count": 355}, {"keyword": "public transport", "count": 259}, {"keyword": "cleanliness", "count": 96}]</t>
  </si>
  <si>
    <t xml:space="preserve">[{"keyword": "desert stargazing", "count": 276}, {"keyword": "festivals", "count": 50}, {"keyword": "cleanliness", "count": 5}]</t>
  </si>
  <si>
    <t xml:space="preserve">[{"keyword": "wine tours", "count": 346}, {"keyword": "hot springs", "count": 292}, {"keyword": "national parks", "count": 49}]</t>
  </si>
  <si>
    <t xml:space="preserve">[{"keyword": "signage", "count": 51}, {"keyword": "festivals", "count": 89}, {"keyword": "seafood", "count": 354}]</t>
  </si>
  <si>
    <t xml:space="preserve">["price transparency", "signage clarity"]</t>
  </si>
  <si>
    <t xml:space="preserve">[{"keyword": "safety", "count": 124}, {"keyword": "ski resorts", "count": 360}, {"keyword": "wine tours", "count": 376}]</t>
  </si>
  <si>
    <t xml:space="preserve">[{"keyword": "national parks", "count": 390}, {"keyword": "signage", "count": 285}, {"keyword": "desert stargazing", "count": 175}, {"keyword": "whale watching", "count": 220}, {"keyword": "public transport", "count": 281}]</t>
  </si>
  <si>
    <t xml:space="preserve">[{"keyword": "festivals", "count": 328}, {"keyword": "street art", "count": 393}, {"keyword": "indigenous culture", "count": 290}, {"keyword": "whale watching", "count": 396}, {"keyword": "ski resorts", "count": 255}]</t>
  </si>
  <si>
    <t xml:space="preserve">[{"keyword": "whale watching", "count": 359}, {"keyword": "desert stargazing", "count": 18}, {"keyword": "safety", "count": 186}, {"keyword": "hot springs", "count": 130}]</t>
  </si>
  <si>
    <t xml:space="preserve">[{"keyword": "public transport", "count": 346}, {"keyword": "festivals", "count": 161}, {"keyword": "volcano trekking", "count": 175}, {"keyword": "hiking trails", "count": 213}, {"keyword": "safety", "count": 387}]</t>
  </si>
  <si>
    <t xml:space="preserve">[{"keyword": "local markets", "count": 234}, {"keyword": "hot springs", "count": 27}, {"keyword": "beaches", "count": 182}, {"keyword": "street art", "count": 292}]</t>
  </si>
  <si>
    <t xml:space="preserve">[{"keyword": "hiking trails", "count": 56}, {"keyword": "astronomy tourism", "count": 299}, {"keyword": "signage", "count": 317}]</t>
  </si>
  <si>
    <t xml:space="preserve">[{"keyword": "ski resorts", "count": 164}, {"keyword": "indigenous culture", "count": 64}, {"keyword": "signage", "count": 227}, {"keyword": "astronomy tourism", "count": 283}, {"keyword": "hot springs", "count": 273}]</t>
  </si>
  <si>
    <t xml:space="preserve">[{"keyword": "seafood", "count": 101}, {"keyword": "desert stargazing", "count": 188}, {"keyword": "volcano trekking", "count": 9}, {"keyword": "astronomy tourism", "count": 204}]</t>
  </si>
  <si>
    <t xml:space="preserve">[{"keyword": "glaciers", "count": 8}, {"keyword": "seafood", "count": 113}, {"keyword": "beaches", "count": 257}, {"keyword": "public transport", "count": 375}, {"keyword": "indigenous culture", "count": 252}]</t>
  </si>
  <si>
    <t xml:space="preserve">[{"keyword": "desert stargazing", "count": 46}, {"keyword": "local markets", "count": 176}, {"keyword": "ski resorts", "count": 292}, {"keyword": "public transport", "count": 395}]</t>
  </si>
  <si>
    <t xml:space="preserve">[{"keyword": "indigenous culture", "count": 353}, {"keyword": "hiking trails", "count": 139}, {"keyword": "beaches", "count": 97}]</t>
  </si>
  <si>
    <t xml:space="preserve">[{"keyword": "public transport", "count": 356}, {"keyword": "glaciers", "count": 226}, {"keyword": "local markets", "count": 399}]</t>
  </si>
  <si>
    <t xml:space="preserve">[{"keyword": "festivals", "count": 154}, {"keyword": "national parks", "count": 257}, {"keyword": "hiking trails", "count": 309}]</t>
  </si>
  <si>
    <t xml:space="preserve">["wifi reliability", "price transparency"]</t>
  </si>
  <si>
    <t xml:space="preserve">[{"keyword": "wine tours", "count": 54}, {"keyword": "desert stargazing", "count": 379}, {"keyword": "street art", "count": 237}, {"keyword": "hot springs", "count": 24}]</t>
  </si>
  <si>
    <t xml:space="preserve">[{"keyword": "beaches", "count": 258}, {"keyword": "seafood", "count": 249}, {"keyword": "astronomy tourism", "count": 291}, {"keyword": "wine tours", "count": 6}]</t>
  </si>
  <si>
    <t xml:space="preserve">["wifi reliability", "cleanliness near terminals"]</t>
  </si>
  <si>
    <t xml:space="preserve">[{"keyword": "glaciers", "count": 26}, {"keyword": "safety", "count": 77}, {"keyword": "signage", "count": 171}]</t>
  </si>
  <si>
    <t xml:space="preserve">["transport connections", "overcrowding at peak season"]</t>
  </si>
  <si>
    <t xml:space="preserve">[{"keyword": "local markets", "count": 300}, {"keyword": "hiking trails", "count": 150}, {"keyword": "whale watching", "count": 101}, {"keyword": "volcano trekking", "count": 291}, {"keyword": "wine tours", "count": 360}]</t>
  </si>
  <si>
    <t xml:space="preserve">[{"keyword": "volcano trekking", "count": 372}, {"keyword": "local markets", "count": 180}, {"keyword": "public transport", "count": 392}]</t>
  </si>
  <si>
    <t xml:space="preserve">[{"keyword": "astronomy tourism", "count": 44}, {"keyword": "volcano trekking", "count": 287}, {"keyword": "cleanliness", "count": 215}]</t>
  </si>
  <si>
    <t xml:space="preserve">[{"keyword": "seafood", "count": 347}, {"keyword": "desert stargazing", "count": 240}, {"keyword": "public transport", "count": 165}, {"keyword": "whale watching", "count": 301}, {"keyword": "indigenous culture", "count": 172}]</t>
  </si>
  <si>
    <t xml:space="preserve">[{"keyword": "hot springs", "count": 247}, {"keyword": "safety", "count": 365}, {"keyword": "local markets", "count": 202}]</t>
  </si>
  <si>
    <t xml:space="preserve">[{"keyword": "safety", "count": 185}, {"keyword": "desert stargazing", "count": 197}, {"keyword": "glaciers", "count": 393}, {"keyword": "street art", "count": 41}]</t>
  </si>
  <si>
    <t xml:space="preserve">[{"keyword": "signage", "count": 242}, {"keyword": "astronomy tourism", "count": 121}, {"keyword": "ski resorts", "count": 155}]</t>
  </si>
  <si>
    <t xml:space="preserve">[{"keyword": "hiking trails", "count": 240}, {"keyword": "ski resorts", "count": 87}, {"keyword": "public transport", "count": 12}]</t>
  </si>
  <si>
    <t xml:space="preserve">[{"keyword": "safety", "count": 92}, {"keyword": "ski resorts", "count": 34}, {"keyword": "local markets", "count": 340}, {"keyword": "seafood", "count": 256}]</t>
  </si>
  <si>
    <t xml:space="preserve">[{"keyword": "festivals", "count": 277}, {"keyword": "beaches", "count": 8}, {"keyword": "astronomy tourism", "count": 14}, {"keyword": "cleanliness", "count": 183}, {"keyword": "volcano trekking", "count": 50}]</t>
  </si>
  <si>
    <t xml:space="preserve">[{"keyword": "street art", "count": 24}, {"keyword": "whale watching", "count": 319}, {"keyword": "astronomy tourism", "count": 77}]</t>
  </si>
  <si>
    <t xml:space="preserve">[{"keyword": "glaciers", "count": 256}, {"keyword": "safety", "count": 5}, {"keyword": "whale watching", "count": 322}]</t>
  </si>
  <si>
    <t xml:space="preserve">[{"keyword": "indigenous culture", "count": 382}, {"keyword": "astronomy tourism", "count": 339}, {"keyword": "street art", "count": 101}, {"keyword": "festivals", "count": 18}]</t>
  </si>
  <si>
    <t xml:space="preserve">[{"keyword": "cleanliness", "count": 282}, {"keyword": "signage", "count": 167}, {"keyword": "local markets", "count": 7}, {"keyword": "astronomy tourism", "count": 171}, {"keyword": "seafood", "count": 77}]</t>
  </si>
  <si>
    <t xml:space="preserve">[{"keyword": "ski resorts", "count": 72}, {"keyword": "indigenous culture", "count": 397}, {"keyword": "hot springs", "count": 275}]</t>
  </si>
  <si>
    <t xml:space="preserve">[{"keyword": "beaches", "count": 260}, {"keyword": "public transport", "count": 221}, {"keyword": "wine tours", "count": 44}]</t>
  </si>
  <si>
    <t xml:space="preserve">[{"keyword": "desert stargazing", "count": 162}, {"keyword": "hot springs", "count": 43}, {"keyword": "wine tours", "count": 269}]</t>
  </si>
  <si>
    <t xml:space="preserve">[{"keyword": "seafood", "count": 217}, {"keyword": "signage", "count": 159}, {"keyword": "desert stargazing", "count": 7}, {"keyword": "festivals", "count": 312}, {"keyword": "hiking trails", "count": 274}]</t>
  </si>
  <si>
    <t xml:space="preserve">[{"keyword": "national parks", "count": 376}, {"keyword": "seafood", "count": 317}, {"keyword": "hiking trails", "count": 370}, {"keyword": "hot springs", "count": 336}, {"keyword": "desert stargazing", "count": 336}]</t>
  </si>
  <si>
    <t xml:space="preserve">[{"keyword": "cleanliness", "count": 83}, {"keyword": "whale watching", "count": 301}, {"keyword": "public transport", "count": 267}, {"keyword": "hiking trails", "count": 395}, {"keyword": "desert stargazing", "count": 211}]</t>
  </si>
  <si>
    <t xml:space="preserve">[{"keyword": "wine tours", "count": 289}, {"keyword": "cleanliness", "count": 246}, {"keyword": "beaches", "count": 374}, {"keyword": "signage", "count": 230}, {"keyword": "street art", "count": 7}]</t>
  </si>
  <si>
    <t xml:space="preserve">[{"keyword": "public transport", "count": 73}, {"keyword": "whale watching", "count": 237}, {"keyword": "volcano trekking", "count": 223}]</t>
  </si>
  <si>
    <t xml:space="preserve">[{"keyword": "hot springs", "count": 87}, {"keyword": "national parks", "count": 349}, {"keyword": "ski resorts", "count": 169}, {"keyword": "cleanliness", "count": 166}, {"keyword": "beaches", "count": 266}]</t>
  </si>
  <si>
    <t xml:space="preserve">[{"keyword": "volcano trekking", "count": 276}, {"keyword": "safety", "count": 37}, {"keyword": "ski resorts", "count": 7}]</t>
  </si>
  <si>
    <t xml:space="preserve">[{"keyword": "indigenous culture", "count": 21}, {"keyword": "signage", "count": 38}, {"keyword": "public transport", "count": 161}, {"keyword": "wine tours", "count": 272}]</t>
  </si>
  <si>
    <t xml:space="preserve">[{"keyword": "national parks", "count": 108}, {"keyword": "local markets", "count": 24}, {"keyword": "glaciers", "count": 95}]</t>
  </si>
  <si>
    <t xml:space="preserve">[{"keyword": "whale watching", "count": 46}, {"keyword": "beaches", "count": 339}, {"keyword": "wine tours", "count": 112}, {"keyword": "desert stargazing", "count": 129}]</t>
  </si>
  <si>
    <t xml:space="preserve">[{"keyword": "glaciers", "count": 33}, {"keyword": "hiking trails", "count": 368}, {"keyword": "wine tours", "count": 226}, {"keyword": "local markets", "count": 380}, {"keyword": "astronomy tourism", "count": 150}]</t>
  </si>
  <si>
    <t xml:space="preserve">[{"keyword": "street art", "count": 276}, {"keyword": "hot springs", "count": 70}, {"keyword": "hiking trails", "count": 273}, {"keyword": "national parks", "count": 295}]</t>
  </si>
  <si>
    <t xml:space="preserve">[{"keyword": "astronomy tourism", "count": 251}, {"keyword": "national parks", "count": 73}, {"keyword": "seafood", "count": 362}, {"keyword": "volcano trekking", "count": 75}, {"keyword": "festivals", "count": 66}]</t>
  </si>
  <si>
    <t xml:space="preserve">[{"keyword": "signage", "count": 171}, {"keyword": "wine tours", "count": 374}, {"keyword": "hot springs", "count": 349}, {"keyword": "cleanliness", "count": 391}, {"keyword": "ski resorts", "count": 361}]</t>
  </si>
  <si>
    <t xml:space="preserve">[{"keyword": "national parks", "count": 28}, {"keyword": "volcano trekking", "count": 276}, {"keyword": "indigenous culture", "count": 234}, {"keyword": "public transport", "count": 90}]</t>
  </si>
  <si>
    <t xml:space="preserve">[{"keyword": "volcano trekking", "count": 296}, {"keyword": "wine tours", "count": 47}, {"keyword": "street art", "count": 216}]</t>
  </si>
  <si>
    <t xml:space="preserve">[{"keyword": "astronomy tourism", "count": 273}, {"keyword": "ski resorts", "count": 217}, {"keyword": "seafood", "count": 133}, {"keyword": "signage", "count": 303}]</t>
  </si>
  <si>
    <t xml:space="preserve">[{"keyword": "seafood", "count": 64}, {"keyword": "festivals", "count": 225}, {"keyword": "glaciers", "count": 101}, {"keyword": "safety", "count": 351}, {"keyword": "local markets", "count": 285}]</t>
  </si>
  <si>
    <t xml:space="preserve">[{"keyword": "whale watching", "count": 280}, {"keyword": "public transport", "count": 352}, {"keyword": "national parks", "count": 300}, {"keyword": "festivals", "count": 11}, {"keyword": "ski resorts", "count": 110}]</t>
  </si>
  <si>
    <t xml:space="preserve">[{"keyword": "astronomy tourism", "count": 46}, {"keyword": "volcano trekking", "count": 203}, {"keyword": "signage", "count": 350}, {"keyword": "public transport", "count": 264}]</t>
  </si>
  <si>
    <t xml:space="preserve">[{"keyword": "glaciers", "count": 141}, {"keyword": "festivals", "count": 385}, {"keyword": "wine tours", "count": 156}, {"keyword": "signage", "count": 210}, {"keyword": "national parks", "count": 234}]</t>
  </si>
  <si>
    <t xml:space="preserve">[{"keyword": "safety", "count": 79}, {"keyword": "seafood", "count": 383}, {"keyword": "volcano trekking", "count": 121}]</t>
  </si>
  <si>
    <t xml:space="preserve">[{"keyword": "ski resorts", "count": 388}, {"keyword": "public transport", "count": 354}, {"keyword": "seafood", "count": 182}, {"keyword": "festivals", "count": 6}]</t>
  </si>
  <si>
    <t xml:space="preserve">[{"keyword": "whale watching", "count": 206}, {"keyword": "glaciers", "count": 216}, {"keyword": "safety", "count": 51}, {"keyword": "hiking trails", "count": 216}, {"keyword": "public transport", "count": 196}]</t>
  </si>
  <si>
    <t xml:space="preserve">[{"keyword": "hiking trails", "count": 105}, {"keyword": "street art", "count": 33}, {"keyword": "festivals", "count": 237}, {"keyword": "whale watching", "count": 102}, {"keyword": "desert stargazing", "count": 336}]</t>
  </si>
  <si>
    <t xml:space="preserve">[{"keyword": "signage", "count": 59}, {"keyword": "festivals", "count": 35}, {"keyword": "volcano trekking", "count": 208}, {"keyword": "public transport", "count": 327}, {"keyword": "national parks", "count": 79}]</t>
  </si>
  <si>
    <t xml:space="preserve">[{"keyword": "festivals", "count": 374}, {"keyword": "street art", "count": 206}, {"keyword": "whale watching", "count": 237}]</t>
  </si>
  <si>
    <t xml:space="preserve">[{"keyword": "hot springs", "count": 103}, {"keyword": "hiking trails", "count": 219}, {"keyword": "national parks", "count": 313}, {"keyword": "glaciers", "count": 375}]</t>
  </si>
  <si>
    <t xml:space="preserve">[{"keyword": "desert stargazing", "count": 180}, {"keyword": "beaches", "count": 173}, {"keyword": "signage", "count": 377}, {"keyword": "cleanliness", "count": 151}]</t>
  </si>
  <si>
    <t xml:space="preserve">[{"keyword": "whale watching", "count": 235}, {"keyword": "seafood", "count": 267}, {"keyword": "volcano trekking", "count": 116}, {"keyword": "indigenous culture", "count": 209}, {"keyword": "desert stargazing", "count": 119}]</t>
  </si>
  <si>
    <t xml:space="preserve">[{"keyword": "safety", "count": 190}, {"keyword": "volcano trekking", "count": 341}, {"keyword": "astronomy tourism", "count": 236}, {"keyword": "signage", "count": 339}, {"keyword": "desert stargazing", "count": 270}]</t>
  </si>
  <si>
    <t xml:space="preserve">[{"keyword": "signage", "count": 44}, {"keyword": "indigenous culture", "count": 243}, {"keyword": "local markets", "count": 66}, {"keyword": "national parks", "count": 371}]</t>
  </si>
  <si>
    <t xml:space="preserve">[{"keyword": "public transport", "count": 174}, {"keyword": "signage", "count": 196}, {"keyword": "wine tours", "count": 390}]</t>
  </si>
  <si>
    <t xml:space="preserve">[{"keyword": "street art", "count": 343}, {"keyword": "public transport", "count": 13}, {"keyword": "national parks", "count": 170}, {"keyword": "festivals", "count": 171}, {"keyword": "seafood", "count": 165}]</t>
  </si>
  <si>
    <t xml:space="preserve">[{"keyword": "hiking trails", "count": 137}, {"keyword": "ski resorts", "count": 157}, {"keyword": "festivals", "count": 80}, {"keyword": "indigenous culture", "count": 369}, {"keyword": "whale watching", "count": 22}]</t>
  </si>
  <si>
    <t xml:space="preserve">[{"keyword": "astronomy tourism", "count": 323}, {"keyword": "hiking trails", "count": 21}, {"keyword": "national parks", "count": 11}, {"keyword": "signage", "count": 259}]</t>
  </si>
  <si>
    <t xml:space="preserve">[{"keyword": "hot springs", "count": 236}, {"keyword": "hiking trails", "count": 348}, {"keyword": "signage", "count": 39}]</t>
  </si>
  <si>
    <t xml:space="preserve">[{"keyword": "street art", "count": 24}, {"keyword": "volcano trekking", "count": 250}, {"keyword": "festivals", "count": 213}, {"keyword": "indigenous culture", "count": 238}, {"keyword": "local markets", "count": 244}]</t>
  </si>
  <si>
    <t xml:space="preserve">[{"keyword": "whale watching", "count": 328}, {"keyword": "ski resorts", "count": 109}, {"keyword": "hot springs", "count": 120}, {"keyword": "street art", "count": 170}]</t>
  </si>
  <si>
    <t xml:space="preserve">[{"keyword": "festivals", "count": 237}, {"keyword": "volcano trekking", "count": 41}, {"keyword": "public transport", "count": 326}, {"keyword": "local markets", "count": 304}]</t>
  </si>
  <si>
    <t xml:space="preserve">[{"keyword": "national parks", "count": 160}, {"keyword": "festivals", "count": 124}, {"keyword": "safety", "count": 276}, {"keyword": "beaches", "count": 223}]</t>
  </si>
  <si>
    <t xml:space="preserve">[{"keyword": "seafood", "count": 312}, {"keyword": "safety", "count": 372}, {"keyword": "national parks", "count": 200}, {"keyword": "hiking trails", "count": 23}]</t>
  </si>
  <si>
    <t xml:space="preserve">[{"keyword": "volcano trekking", "count": 138}, {"keyword": "whale watching", "count": 279}, {"keyword": "astronomy tourism", "count": 325}, {"keyword": "hot springs", "count": 52}]</t>
  </si>
  <si>
    <t xml:space="preserve">[{"keyword": "safety", "count": 341}, {"keyword": "hot springs", "count": 322}, {"keyword": "indigenous culture", "count": 297}]</t>
  </si>
  <si>
    <t xml:space="preserve">[{"keyword": "local markets", "count": 388}, {"keyword": "desert stargazing", "count": 93}, {"keyword": "beaches", "count": 331}, {"keyword": "safety", "count": 207}, {"keyword": "cleanliness", "count": 309}]</t>
  </si>
  <si>
    <t xml:space="preserve">[{"keyword": "beaches", "count": 128}, {"keyword": "safety", "count": 11}, {"keyword": "glaciers", "count": 225}, {"keyword": "volcano trekking", "count": 396}]</t>
  </si>
  <si>
    <t xml:space="preserve">[{"keyword": "glaciers", "count": 179}, {"keyword": "hot springs", "count": 281}, {"keyword": "whale watching", "count": 328}]</t>
  </si>
  <si>
    <t xml:space="preserve">[{"keyword": "volcano trekking", "count": 226}, {"keyword": "ski resorts", "count": 355}, {"keyword": "hiking trails", "count": 280}, {"keyword": "safety", "count": 112}]</t>
  </si>
  <si>
    <t xml:space="preserve">[{"keyword": "cleanliness", "count": 81}, {"keyword": "beaches", "count": 382}, {"keyword": "glaciers", "count": 138}, {"keyword": "ski resorts", "count": 77}]</t>
  </si>
  <si>
    <t xml:space="preserve">[{"keyword": "local markets", "count": 371}, {"keyword": "hot springs", "count": 306}, {"keyword": "seafood", "count": 140}, {"keyword": "festivals", "count": 24}, {"keyword": "wine tours", "count": 345}]</t>
  </si>
  <si>
    <t xml:space="preserve">[{"keyword": "wine tours", "count": 93}, {"keyword": "festivals", "count": 272}, {"keyword": "safety", "count": 158}]</t>
  </si>
  <si>
    <t xml:space="preserve">[{"keyword": "whale watching", "count": 210}, {"keyword": "volcano trekking", "count": 19}, {"keyword": "desert stargazing", "count": 192}, {"keyword": "astronomy tourism", "count": 385}]</t>
  </si>
  <si>
    <t xml:space="preserve">[{"keyword": "glaciers", "count": 234}, {"keyword": "whale watching", "count": 194}, {"keyword": "cleanliness", "count": 128}, {"keyword": "volcano trekking", "count": 278}]</t>
  </si>
  <si>
    <t xml:space="preserve">[{"keyword": "indigenous culture", "count": 201}, {"keyword": "desert stargazing", "count": 257}, {"keyword": "street art", "count": 87}, {"keyword": "ski resorts", "count": 241}]</t>
  </si>
  <si>
    <t xml:space="preserve">[{"keyword": "whale watching", "count": 88}, {"keyword": "beaches", "count": 257}, {"keyword": "seafood", "count": 291}]</t>
  </si>
  <si>
    <t xml:space="preserve">[{"keyword": "whale watching", "count": 280}, {"keyword": "local markets", "count": 243}, {"keyword": "hiking trails", "count": 102}, {"keyword": "astronomy tourism", "count": 96}]</t>
  </si>
  <si>
    <t xml:space="preserve">[{"keyword": "hiking trails", "count": 357}, {"keyword": "indigenous culture", "count": 123}, {"keyword": "public transport", "count": 282}]</t>
  </si>
  <si>
    <t xml:space="preserve">site_name</t>
  </si>
  <si>
    <t xml:space="preserve">date</t>
  </si>
  <si>
    <t xml:space="preserve">sensor_type</t>
  </si>
  <si>
    <t xml:space="preserve">visitor_count</t>
  </si>
  <si>
    <t xml:space="preserve">trail_status</t>
  </si>
  <si>
    <t xml:space="preserve">battery_pct</t>
  </si>
  <si>
    <t xml:space="preserve">temp_c</t>
  </si>
  <si>
    <t xml:space="preserve">precip_mm</t>
  </si>
  <si>
    <t xml:space="preserve">sea_condition_index</t>
  </si>
  <si>
    <t xml:space="preserve">wave_height_m</t>
  </si>
  <si>
    <t xml:space="preserve">iot_sensor_reading</t>
  </si>
  <si>
    <t xml:space="preserve">Parque Nacional Lauca</t>
  </si>
  <si>
    <t xml:space="preserve">2025-01-04</t>
  </si>
  <si>
    <t xml:space="preserve">trail_counter</t>
  </si>
  <si>
    <t xml:space="preserve">partial_closure</t>
  </si>
  <si>
    <t xml:space="preserve">2025-01-10</t>
  </si>
  <si>
    <t xml:space="preserve">weather_station</t>
  </si>
  <si>
    <t xml:space="preserve">2025-01-17</t>
  </si>
  <si>
    <t xml:space="preserve">2025-01-22</t>
  </si>
  <si>
    <t xml:space="preserve">2025-01-23</t>
  </si>
  <si>
    <t xml:space="preserve">open</t>
  </si>
  <si>
    <t xml:space="preserve">2025-02-01</t>
  </si>
  <si>
    <t xml:space="preserve">buoy</t>
  </si>
  <si>
    <t xml:space="preserve">2025-02-11</t>
  </si>
  <si>
    <t xml:space="preserve">2025-02-26</t>
  </si>
  <si>
    <t xml:space="preserve">2025-02-28</t>
  </si>
  <si>
    <t xml:space="preserve">2025-03-09</t>
  </si>
  <si>
    <t xml:space="preserve">2025-03-23</t>
  </si>
  <si>
    <t xml:space="preserve">2025-04-11</t>
  </si>
  <si>
    <t xml:space="preserve">2025-04-19</t>
  </si>
  <si>
    <t xml:space="preserve">2025-04-21</t>
  </si>
  <si>
    <t xml:space="preserve">2025-04-26</t>
  </si>
  <si>
    <t xml:space="preserve">2025-05-03</t>
  </si>
  <si>
    <t xml:space="preserve">2025-05-04</t>
  </si>
  <si>
    <t xml:space="preserve">2025-05-06</t>
  </si>
  <si>
    <t xml:space="preserve">closed_weather</t>
  </si>
  <si>
    <t xml:space="preserve">2025-05-08</t>
  </si>
  <si>
    <t xml:space="preserve">2025-05-15</t>
  </si>
  <si>
    <t xml:space="preserve">2025-05-20</t>
  </si>
  <si>
    <t xml:space="preserve">2025-06-05</t>
  </si>
  <si>
    <t xml:space="preserve">2025-06-20</t>
  </si>
  <si>
    <t xml:space="preserve">2025-06-25</t>
  </si>
  <si>
    <t xml:space="preserve">2025-07-14</t>
  </si>
  <si>
    <t xml:space="preserve">Parque Nacional Torres del Paine</t>
  </si>
  <si>
    <t xml:space="preserve">2025-01-02</t>
  </si>
  <si>
    <t xml:space="preserve">2025-01-12</t>
  </si>
  <si>
    <t xml:space="preserve">2025-01-15</t>
  </si>
  <si>
    <t xml:space="preserve">2025-01-19</t>
  </si>
  <si>
    <t xml:space="preserve">2025-02-02</t>
  </si>
  <si>
    <t xml:space="preserve">2025-02-17</t>
  </si>
  <si>
    <t xml:space="preserve">2025-02-18</t>
  </si>
  <si>
    <t xml:space="preserve">2025-02-19</t>
  </si>
  <si>
    <t xml:space="preserve">2025-03-08</t>
  </si>
  <si>
    <t xml:space="preserve">2025-03-16</t>
  </si>
  <si>
    <t xml:space="preserve">2025-03-20</t>
  </si>
  <si>
    <t xml:space="preserve">2025-03-21</t>
  </si>
  <si>
    <t xml:space="preserve">2025-03-28</t>
  </si>
  <si>
    <t xml:space="preserve">2025-04-04</t>
  </si>
  <si>
    <t xml:space="preserve">2025-04-06</t>
  </si>
  <si>
    <t xml:space="preserve">2025-04-08</t>
  </si>
  <si>
    <t xml:space="preserve">2025-04-18</t>
  </si>
  <si>
    <t xml:space="preserve">2025-04-23</t>
  </si>
  <si>
    <t xml:space="preserve">2025-05-01</t>
  </si>
  <si>
    <t xml:space="preserve">2025-05-21</t>
  </si>
  <si>
    <t xml:space="preserve">2025-05-23</t>
  </si>
  <si>
    <t xml:space="preserve">2025-05-26</t>
  </si>
  <si>
    <t xml:space="preserve">2025-06-01</t>
  </si>
  <si>
    <t xml:space="preserve">2025-06-02</t>
  </si>
  <si>
    <t xml:space="preserve">2025-06-16</t>
  </si>
  <si>
    <t xml:space="preserve">2025-06-28</t>
  </si>
  <si>
    <t xml:space="preserve">2025-07-01</t>
  </si>
  <si>
    <t xml:space="preserve">2025-07-03</t>
  </si>
  <si>
    <t xml:space="preserve">2025-07-05</t>
  </si>
  <si>
    <t xml:space="preserve">2025-07-08</t>
  </si>
  <si>
    <t xml:space="preserve">2025-07-18</t>
  </si>
  <si>
    <t xml:space="preserve">Parque Nacional Vicente Pérez Rosales</t>
  </si>
  <si>
    <t xml:space="preserve">2025-01-05</t>
  </si>
  <si>
    <t xml:space="preserve">2025-01-06</t>
  </si>
  <si>
    <t xml:space="preserve">2025-01-14</t>
  </si>
  <si>
    <t xml:space="preserve">2025-01-20</t>
  </si>
  <si>
    <t xml:space="preserve">2025-01-31</t>
  </si>
  <si>
    <t xml:space="preserve">2025-02-06</t>
  </si>
  <si>
    <t xml:space="preserve">2025-02-15</t>
  </si>
  <si>
    <t xml:space="preserve">2025-03-02</t>
  </si>
  <si>
    <t xml:space="preserve">2025-03-18</t>
  </si>
  <si>
    <t xml:space="preserve">2025-03-24</t>
  </si>
  <si>
    <t xml:space="preserve">2025-03-25</t>
  </si>
  <si>
    <t xml:space="preserve">2025-03-27</t>
  </si>
  <si>
    <t xml:space="preserve">2025-03-29</t>
  </si>
  <si>
    <t xml:space="preserve">2025-04-02</t>
  </si>
  <si>
    <t xml:space="preserve">2025-04-15</t>
  </si>
  <si>
    <t xml:space="preserve">2025-05-02</t>
  </si>
  <si>
    <t xml:space="preserve">2025-05-11</t>
  </si>
  <si>
    <t xml:space="preserve">2025-05-18</t>
  </si>
  <si>
    <t xml:space="preserve">2025-05-30</t>
  </si>
  <si>
    <t xml:space="preserve">2025-06-04</t>
  </si>
  <si>
    <t xml:space="preserve">2025-06-08</t>
  </si>
  <si>
    <t xml:space="preserve">2025-06-13</t>
  </si>
  <si>
    <t xml:space="preserve">2025-06-27</t>
  </si>
  <si>
    <t xml:space="preserve">2025-07-10</t>
  </si>
  <si>
    <t xml:space="preserve">2025-07-17</t>
  </si>
  <si>
    <t xml:space="preserve">Parque Nacional Conguillío</t>
  </si>
  <si>
    <t xml:space="preserve">2025-01-18</t>
  </si>
  <si>
    <t xml:space="preserve">2025-01-30</t>
  </si>
  <si>
    <t xml:space="preserve">2025-02-05</t>
  </si>
  <si>
    <t xml:space="preserve">2025-02-21</t>
  </si>
  <si>
    <t xml:space="preserve">2025-05-10</t>
  </si>
  <si>
    <t xml:space="preserve">2025-05-27</t>
  </si>
  <si>
    <t xml:space="preserve">2025-06-29</t>
  </si>
  <si>
    <t xml:space="preserve">Reserva Nacional Coyhaique</t>
  </si>
  <si>
    <t xml:space="preserve">2025-01-03</t>
  </si>
  <si>
    <t xml:space="preserve">2025-01-28</t>
  </si>
  <si>
    <t xml:space="preserve">2025-02-03</t>
  </si>
  <si>
    <t xml:space="preserve">2025-02-27</t>
  </si>
  <si>
    <t xml:space="preserve">2025-03-03</t>
  </si>
  <si>
    <t xml:space="preserve">2025-03-19</t>
  </si>
  <si>
    <t xml:space="preserve">2025-04-24</t>
  </si>
  <si>
    <t xml:space="preserve">2025-05-19</t>
  </si>
  <si>
    <t xml:space="preserve">2025-06-18</t>
  </si>
  <si>
    <t xml:space="preserve">2025-07-07</t>
  </si>
  <si>
    <t xml:space="preserve">2025-07-19</t>
  </si>
  <si>
    <t xml:space="preserve">Parque Nacional Chiloé</t>
  </si>
  <si>
    <t xml:space="preserve">2025-01-07</t>
  </si>
  <si>
    <t xml:space="preserve">2025-01-11</t>
  </si>
  <si>
    <t xml:space="preserve">2025-01-26</t>
  </si>
  <si>
    <t xml:space="preserve">2025-01-27</t>
  </si>
  <si>
    <t xml:space="preserve">2025-02-08</t>
  </si>
  <si>
    <t xml:space="preserve">2025-02-10</t>
  </si>
  <si>
    <t xml:space="preserve">2025-04-27</t>
  </si>
  <si>
    <t xml:space="preserve">2025-04-28</t>
  </si>
  <si>
    <t xml:space="preserve">2025-06-03</t>
  </si>
  <si>
    <t xml:space="preserve">2025-06-15</t>
  </si>
  <si>
    <t xml:space="preserve">2025-06-26</t>
  </si>
  <si>
    <t xml:space="preserve">Parque Nacional Rapa Nui</t>
  </si>
  <si>
    <t xml:space="preserve">2025-01-16</t>
  </si>
  <si>
    <t xml:space="preserve">2025-03-06</t>
  </si>
  <si>
    <t xml:space="preserve">2025-03-10</t>
  </si>
  <si>
    <t xml:space="preserve">2025-04-20</t>
  </si>
  <si>
    <t xml:space="preserve">2025-04-29</t>
  </si>
  <si>
    <t xml:space="preserve">2025-05-07</t>
  </si>
  <si>
    <t xml:space="preserve">2025-05-16</t>
  </si>
  <si>
    <t xml:space="preserve">2025-05-17</t>
  </si>
  <si>
    <t xml:space="preserve">2025-07-02</t>
  </si>
  <si>
    <t xml:space="preserve">2025-07-11</t>
  </si>
  <si>
    <t xml:space="preserve">Parque Nacional Fray Jorge</t>
  </si>
  <si>
    <t xml:space="preserve">2025-02-14</t>
  </si>
  <si>
    <t xml:space="preserve">2025-02-16</t>
  </si>
  <si>
    <t xml:space="preserve">2025-03-05</t>
  </si>
  <si>
    <t xml:space="preserve">2025-04-07</t>
  </si>
  <si>
    <t xml:space="preserve">2025-05-29</t>
  </si>
  <si>
    <t xml:space="preserve">2025-06-06</t>
  </si>
  <si>
    <t xml:space="preserve">2025-06-23</t>
  </si>
  <si>
    <t xml:space="preserve">Parque Nacional Nahuelbuta</t>
  </si>
  <si>
    <t xml:space="preserve">2025-01-21</t>
  </si>
  <si>
    <t xml:space="preserve">2025-02-23</t>
  </si>
  <si>
    <t xml:space="preserve">2025-03-30</t>
  </si>
  <si>
    <t xml:space="preserve">2025-05-24</t>
  </si>
  <si>
    <t xml:space="preserve">2025-06-12</t>
  </si>
  <si>
    <t xml:space="preserve">2025-07-04</t>
  </si>
  <si>
    <t xml:space="preserve">2025-07-06</t>
  </si>
  <si>
    <t xml:space="preserve">2025-07-16</t>
  </si>
  <si>
    <t xml:space="preserve">Reserva Nacional Malalcahuello</t>
  </si>
  <si>
    <t xml:space="preserve">2025-01-01</t>
  </si>
  <si>
    <t xml:space="preserve">2025-02-12</t>
  </si>
  <si>
    <t xml:space="preserve">2025-02-20</t>
  </si>
  <si>
    <t xml:space="preserve">2025-04-09</t>
  </si>
  <si>
    <t xml:space="preserve">2025-04-12</t>
  </si>
  <si>
    <t xml:space="preserve">2025-04-25</t>
  </si>
  <si>
    <t xml:space="preserve">2025-05-25</t>
  </si>
  <si>
    <t xml:space="preserve">2025-06-21</t>
  </si>
  <si>
    <t xml:space="preserve">2025-07-15</t>
  </si>
  <si>
    <t xml:space="preserve">origin_region_code</t>
  </si>
  <si>
    <t xml:space="preserve">destination_region_code</t>
  </si>
  <si>
    <t xml:space="preserve">estimated_visitor_flow</t>
  </si>
  <si>
    <t xml:space="preserve">avg_stay_nights</t>
  </si>
  <si>
    <t xml:space="preserve">mobile_flow_estimate</t>
  </si>
  <si>
    <t xml:space="preserve">Sources and Provenance</t>
  </si>
  <si>
    <t xml:space="preserve">Role</t>
  </si>
  <si>
    <t xml:space="preserve">Provenance / date</t>
  </si>
  <si>
    <t xml:space="preserve">Use in analysis</t>
  </si>
  <si>
    <t xml:space="preserve">DB1 Tourism Competitiveness D1–D5</t>
  </si>
  <si>
    <t xml:space="preserve">Historical cross-section</t>
  </si>
  <si>
    <t xml:space="preserve">Real Ministry/SERNATUR compilation; legacy 15-region structure. DB2 metadata rows date indicators to 2004–2012 (mostly 2010–2011); sources INE, SERNATUR, DIPRES, Carabineros, SBIF, SUBDERE (see DB2_Indicator_Metadata).</t>
  </si>
  <si>
    <t xml:space="preserve">Dimensions 1–5, identity scoring, historical composite</t>
  </si>
  <si>
    <t xml:space="preserve">DB2 Tourism Competitiveness D6–D10</t>
  </si>
  <si>
    <t xml:space="preserve">Dimensions 6–10, identity scoring, historical composite</t>
  </si>
  <si>
    <t xml:space="preserve">DB3 Regional Tourism Flows &amp; Accommodation</t>
  </si>
  <si>
    <t xml:space="preserve">Quarterly panel 2019-Q1–2025-Q3</t>
  </si>
  <si>
    <t xml:space="preserve">Illustrative course data (RfP Annex A); 406 rows in source, 405 after de-duplication.</t>
  </si>
  <si>
    <t xml:space="preserve">Demand, recovery, occupancy, forecasting and RMSE</t>
  </si>
  <si>
    <t xml:space="preserve">DB4 Digital Signals Feed</t>
  </si>
  <si>
    <t xml:space="preserve">Semi-structured signals, 2019–2025</t>
  </si>
  <si>
    <t xml:space="preserve">Illustrative course data; JSON header: 'Synthetic, illustrative data generated for TGM 530 … Not official Ministry data' (seed 20260914); 1,001 records.</t>
  </si>
  <si>
    <t xml:space="preserve">Sentiment, platform, sensor and mobile-flow insights</t>
  </si>
  <si>
    <t xml:space="preserve">DB5 Digital &amp; Innovation Readiness 2025</t>
  </si>
  <si>
    <t xml:space="preserve">Cross-section</t>
  </si>
  <si>
    <t xml:space="preserve">Illustrative course data</t>
  </si>
  <si>
    <t xml:space="preserve">Digital readiness score</t>
  </si>
  <si>
    <t xml:space="preserve">World Economic Forum, Travel &amp; Tourism Development Index 2024</t>
  </si>
  <si>
    <t xml:space="preserve">Required reading</t>
  </si>
  <si>
    <t xml:space="preserve">WEF (2024), May 2024; Chile ranks 31 of 119 (score 4.33), Table 1 p. 33. https://www.weforum.org/publications/travel-tourism-development-index-2024/</t>
  </si>
  <si>
    <t xml:space="preserve">Benchmarking logic, sustainable/resilient T&amp;T framework</t>
  </si>
  <si>
    <t xml:space="preserve">Visa, Global Travel Trends for 2024 (perspective paper)</t>
  </si>
  <si>
    <t xml:space="preserve">Visa (2023) — document dated October 2023 (©2023 Visa Inc.); listed in the course as 'Visa (2024)'. Visa Latin America &amp; Caribbean. https://globalclient.visa.com/lac_traveltrends_en</t>
  </si>
  <si>
    <t xml:space="preserve">Traveler segment and digital/eco-travel context</t>
  </si>
  <si>
    <t xml:space="preserve">Mapping Chile’s Tourism Potential</t>
  </si>
  <si>
    <t xml:space="preserve">Required course vignette</t>
  </si>
  <si>
    <t xml:space="preserve">Course reading 'Chapter 3: Opening Vignette 1' (PDF title); no author or date printed — cited as Serrato (n.d.) pending confirmation with the syllabus.</t>
  </si>
  <si>
    <t xml:space="preserve">Descriptive analytics, visualization and data-integration framing</t>
  </si>
  <si>
    <t xml:space="preserve">Chile Tourism Spot: Chile, Open Nature</t>
  </si>
  <si>
    <t xml:space="preserve">Required video</t>
  </si>
  <si>
    <t xml:space="preserve">Chile Travel [Video]. YouTube. https://www.youtube.com/watch?v=RK3Ou8vq84Y</t>
  </si>
  <si>
    <t xml:space="preserve">Nature-led destination positioning</t>
  </si>
  <si>
    <t xml:space="preserve">Where to Go in Chile: Chile is Waiting for You</t>
  </si>
  <si>
    <t xml:space="preserve">Chile Travel [Video]. YouTube. https://www.youtube.com/watch?v=Y01YNJH14TY</t>
  </si>
  <si>
    <t xml:space="preserve">Cross-regional experience portfolio / Atacama, valleys, Chiloé, Rapa Nui, Santiago</t>
  </si>
  <si>
    <t xml:space="preserve">Regiones de Chile en 2 minutos | Marca Chile</t>
  </si>
  <si>
    <t xml:space="preserve">Marca Chile [Video]. YouTube. https://www.youtube.com/watch?v=Bn5XMxKRuys</t>
  </si>
  <si>
    <t xml:space="preserve">Geographic diversity and regional segmentation context</t>
  </si>
  <si>
    <t xml:space="preserve">Version Notes: v2 revisions to the supporting analysis</t>
  </si>
  <si>
    <t xml:space="preserve">Area</t>
  </si>
  <si>
    <t xml:space="preserve">Change</t>
  </si>
  <si>
    <t xml:space="preserve">Why it matters for the RfP / rubric</t>
  </si>
  <si>
    <t xml:space="preserve">Data quality</t>
  </si>
  <si>
    <t xml:space="preserve">Added Araucanía 2022-Q4 occupancy = 104.5% (impossible), 10 scattered missing DB3 ADR/occupancy cells, Valparaíso 2025-Q1 outlier and IoT battery gaps to the register; Araucanía cell set to missing in Tableau_TimeSeries.</t>
  </si>
  <si>
    <t xml:space="preserve">RfP 1 Q3 / Track 1 (Data readiness): the Ministry asked to be told what cannot be trusted; these were undisclosed.</t>
  </si>
  <si>
    <t xml:space="preserve">Identity scoring</t>
  </si>
  <si>
    <t xml:space="preserve">New Identity_Scoring sheet with the indicator mapping, eight identity scores per region, data ranks and written override rationale; Metropolitana → Culture &amp; Heritage / Winter &amp; Mountain; Aysén → Nature &amp; Adventure / Winter &amp; Mountain; Magallanes → Nature &amp; Adventure / Coastal &amp; Cruise.</t>
  </si>
  <si>
    <t xml:space="preserve">RfP 1 Q1: makes the identity calls auditable and fixes three calls a Chilean reader would question.</t>
  </si>
  <si>
    <t xml:space="preserve">Descriptive statistics</t>
  </si>
  <si>
    <t xml:space="preserve">New Descriptive_Stats sheet (live formulas): national totals by year, latest-4Q regional table with recovery ratios, dimension dispersion, DB3 and DB5 summary statistics.</t>
  </si>
  <si>
    <t xml:space="preserve">Rubric explicitly lists descriptive statistics; the first draft had none as a standalone output.</t>
  </si>
  <si>
    <t xml:space="preserve">Correlation &amp; regression</t>
  </si>
  <si>
    <t xml:space="preserve">Added OLS standard errors, t, p-values, adjusted R² and F-test; bivariate occupancy ~ digital readiness check.</t>
  </si>
  <si>
    <t xml:space="preserve">Track 3 (Regression): coefficients without inference cannot be interpreted.</t>
  </si>
  <si>
    <t xml:space="preserve">Forecast honesty</t>
  </si>
  <si>
    <t xml:space="preserve">New Forecast_Generalization sheet: the same holdout test on all 45 region × metric series (model wins 19/45; 5/15 in Scale Now regions); sensitivity excluding the Valparaíso outlier; model coefficients and implied trends.</t>
  </si>
  <si>
    <t xml:space="preserve">RfP 2 Q1: 'if your model is not meaningfully better than the baseline, tell us so.'</t>
  </si>
  <si>
    <t xml:space="preserve">Budget</t>
  </si>
  <si>
    <t xml:space="preserve">USD 1.5M cross-cutting predictive-monitoring &amp; data-governance line funded from five D10 allocations; tier and dimension subtotals as formulas.</t>
  </si>
  <si>
    <t xml:space="preserve">RfP 2 Q3–Q4: the recommendation to invest in monitoring now has a funded line.</t>
  </si>
  <si>
    <t xml:space="preserve">Digital signals</t>
  </si>
  <si>
    <t xml:space="preserve">Added complaint themes, sensor reliability and platform-vs-official ADR gap findings.</t>
  </si>
  <si>
    <t xml:space="preserve">Track 4 (semi-structured data): insights the historical dataset could never surface.</t>
  </si>
  <si>
    <t xml:space="preserve">Source verification</t>
  </si>
  <si>
    <t xml:space="preserve">All cleaned values re-compared with the original DB1–DB5 files (0 mismatches); DB2 metadata (years 2004–2012, sources, 'Tipo de variable' codes) extracted into DB2_Indicator_Metadata; dimension boundaries and the 20 reversed indicators documented in Methodology; buoy-at-inland-site anomaly added to the register.</t>
  </si>
  <si>
    <t xml:space="preserve">Track 1 (sourcing &amp; readiness): shows the cleaning is faithful and the historical composite's vintage is understood.</t>
  </si>
  <si>
    <t xml:space="preserve">Citations</t>
  </si>
  <si>
    <t xml:space="preserve">Visa report cited as 2023 (the document is dated October 2023 even though the course list says 2024); vignette cited as Serrato (n.d.), Chapter 3 Opening Vignette 1; WEF TTDI 2024 cited with Chile's rank (31 of 119, Table 1 p. 33); URLs added.</t>
  </si>
  <si>
    <t xml:space="preserve">Citation requirement (APA).</t>
  </si>
  <si>
    <t xml:space="preserve">Version Notes: v3 revisions (QA pass)</t>
  </si>
  <si>
    <t xml:space="preserve">Citation accuracy</t>
  </si>
  <si>
    <t xml:space="preserve">Corrected the 'Where to Go in Chile' YouTube reference to the RfP's actual required link (watch?v=Y01YNJH14TY); v2 cited a different video under the same title.</t>
  </si>
  <si>
    <t xml:space="preserve">Citation grading criterion; an easy check for a grader to fail.</t>
  </si>
  <si>
    <t xml:space="preserve">DB4 sensor precision</t>
  </si>
  <si>
    <t xml:space="preserve">Chiloé non-open share corrected 30%-&gt;33% (2 of 6 readings) and Rapa Nui 60%-&gt;57% (4 of 7 readings); sample sizes now stated alongside both figures.</t>
  </si>
  <si>
    <t xml:space="preserve">The averages/peaks were already exact; only the rounded percentages needed tightening, and the tiny n (6-7 readings) needed to be visible where the claim is made, not just in the general DB4-sparsity caveat.</t>
  </si>
  <si>
    <t xml:space="preserve">Priority-weight robustness</t>
  </si>
  <si>
    <t xml:space="preserve">Added Weight_Sensitivity tab: re-ranks all 15 regions under three alternative weight schemes (40/40/20, equal 33/33/34, history-heavy 60/20/20) against the base 50/30/20. Referenced in RfP 1 Data Trust section.</t>
  </si>
  <si>
    <t xml:space="preserve">The 50/30/20 split was asserted, not tested; this shows the tier logic is not an artifact of that specific choice, and that Maule's Prepare First override holds under every scheme tested.</t>
  </si>
  <si>
    <t xml:space="preserve">Wait-tier logic</t>
  </si>
  <si>
    <t xml:space="preserve">Rewrote the Wait-tier rationale: Arica y Parinacota (11th of 15) and Tarapaca (9th of 15) are mid-table on the composite score, not 'near the bottom' as v2 stated - the Wait call rests specifically on the lowest promotion (D9) and governance (D10) scores in the set, not on the composite rank. Added the explicit contrast with Aysen/Los Rios (lower composite rank, still Prepare First).</t>
  </si>
  <si>
    <t xml:space="preserve">v2's stated rationale did not match the composite ranking it was built from; a reader who checked the numbers would have caught the inconsistency.</t>
  </si>
  <si>
    <t xml:space="preserve">Budget-regression bridge</t>
  </si>
  <si>
    <t xml:space="preserve">Added a sentence explaining why the USD 45M table has no digital-readiness line despite the regression identifying digital readiness as the only significant demand predictor: digital readiness is an outcome of enabling spend, not a direct purchase; D2/D4/D5 fund the capacity that absorbs the demand it is already pulling in.</t>
  </si>
  <si>
    <t xml:space="preserve">Closes a logic gap between the RfP 1 regression finding and the RfP 2 budget table that a reader could otherwise read as contradictory.</t>
  </si>
  <si>
    <t xml:space="preserve">Forecast-reliability legibility</t>
  </si>
  <si>
    <t xml:space="preserve">Added a plain-language gloss for negative RMSE-reduction percentages (e.g. -239%) plus one worked losing example (Valparaiso international arrivals) in the main narrative, not just the appendix.</t>
  </si>
  <si>
    <t xml:space="preserve">RfP 1 Q4 explicitly asks for a package legible in thirty seconds; unglossed, a minister could mistake -239% for a typo. A visible losing example also makes the champion/challenger governance rule concrete rather than asserted.</t>
  </si>
  <si>
    <t xml:space="preserve">Version Notes: v4 revisions (tier-logic consistency check)</t>
  </si>
  <si>
    <t xml:space="preserve">Magallanes governance inconsistency</t>
  </si>
  <si>
    <t xml:space="preserve">The v3 Wait-tier rationale (weak D9/D10 = disqualifying) was checked against the full dimension table: Magallanes has the 2nd-weakest D10 score of all 15 regions (10, behind only Arica y Parinacota's 6), yet is Scale Now. Added a sentence explaining the distinction (international-operator/park-permitting delivery model; Magallanes' own $5.5M budget already sends $0 to D9/D10) rather than leaving an unexplained double standard next to the v3 language that made D9/D10 sound like a hard rule.</t>
  </si>
  <si>
    <t xml:space="preserve">A reader who checked D10 across all 15 regions after reading the v3 Wait-tier paragraph would have caught this. Closing it protects the credibility of the tier logic as a whole.</t>
  </si>
  <si>
    <t xml:space="preserve">Aysen as closest Wait alternative</t>
  </si>
  <si>
    <t xml:space="preserve">Added an explicit acknowledgment that Aysen (lowest Recent Demand of all 15 regions, near-bottom digital readiness) was the closest alternative candidate for Wait, with the specific counter-evidence for keeping it in Prepare First (2nd-highest Natural Resources score, 2nd-highest ADR in the dataset) and a note that this is the one tier boundary we would revisit first with better access/infrastructure data.</t>
  </si>
  <si>
    <t xml:space="preserve">RfP 1 Q2 asks for the Wait call to be named and defended, not just asserted; naming the closest call and showing the reasoning is stronger than silence and pre-empts the obvious pushback question.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</si>
</sst>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#,##0"/>
    <numFmt numFmtId="167" formatCode="\$0.00"/>
    <numFmt numFmtId="168" formatCode="0.00"/>
    <numFmt numFmtId="169" formatCode="0"/>
    <numFmt numFmtId="170" formatCode="#,##0.0"/>
    <numFmt numFmtId="171" formatCode="0.000"/>
    <numFmt numFmtId="172" formatCode="0.0%"/>
    <numFmt numFmtId="173" formatCode="#,##0.00"/>
    <numFmt numFmtId="174" formatCode="0%"/>
    <numFmt numFmtId="175" formatCode="0.0000"/>
  </numFmts>
  <fonts count="2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4F5B66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7A5A00"/>
      <name val="Arial"/>
      <family val="0"/>
      <charset val="1"/>
    </font>
    <font>
      <b val="true"/>
      <sz val="10"/>
      <color rgb="FF3E650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4F5B6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2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11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B8830C"/>
        <bgColor rgb="FFE97132"/>
      </patternFill>
    </fill>
    <fill>
      <patternFill patternType="solid">
        <fgColor rgb="FFFFF9E5"/>
        <bgColor rgb="FFFFF4CC"/>
      </patternFill>
    </fill>
    <fill>
      <patternFill patternType="solid">
        <fgColor theme="5" tint="-0.5"/>
        <bgColor rgb="FF7A5A00"/>
      </patternFill>
    </fill>
    <fill>
      <patternFill patternType="solid">
        <fgColor rgb="FFFFFFFF"/>
        <bgColor rgb="FFFFF9E5"/>
      </patternFill>
    </fill>
    <fill>
      <patternFill patternType="solid">
        <fgColor rgb="FFEFEFEF"/>
        <bgColor rgb="FFEDF3F7"/>
      </patternFill>
    </fill>
    <fill>
      <patternFill patternType="solid">
        <fgColor rgb="FFEDF3F7"/>
        <bgColor rgb="FFEFEFEF"/>
      </patternFill>
    </fill>
    <fill>
      <patternFill patternType="solid">
        <fgColor rgb="FFFFF4CC"/>
        <bgColor rgb="FFFFF9E5"/>
      </patternFill>
    </fill>
    <fill>
      <patternFill patternType="solid">
        <fgColor rgb="FFE7F2DC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5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00"/>
      <rgbColor rgb="FF800080"/>
      <rgbColor rgb="FF008080"/>
      <rgbColor rgb="FFCCCCCC"/>
      <rgbColor rgb="FF8B8B8B"/>
      <rgbColor rgb="FF9999FF"/>
      <rgbColor rgb="FF993366"/>
      <rgbColor rgb="FFFFF4CC"/>
      <rgbColor rgb="FFED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7F2DC"/>
      <rgbColor rgb="FFFFF9E5"/>
      <rgbColor rgb="FFD9E1F2"/>
      <rgbColor rgb="FFFF99CC"/>
      <rgbColor rgb="FFCC99FF"/>
      <rgbColor rgb="FFFFCC99"/>
      <rgbColor rgb="FF3366FF"/>
      <rgbColor rgb="FF33CCCC"/>
      <rgbColor rgb="FF99CC00"/>
      <rgbColor rgb="FFFFCC00"/>
      <rgbColor rgb="FFB8830C"/>
      <rgbColor rgb="FFE97132"/>
      <rgbColor rgb="FF666666"/>
      <rgbColor rgb="FF969696"/>
      <rgbColor rgb="FF003366"/>
      <rgbColor rgb="FF339966"/>
      <rgbColor rgb="FF111111"/>
      <rgbColor rgb="FF3E650D"/>
      <rgbColor rgb="FF80350E"/>
      <rgbColor rgb="FF993366"/>
      <rgbColor rgb="FF4F5B6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  <a:ea typeface="Calibri"/>
              </a:rPr>
              <a:t>Regional Priority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"Priority Score"</c:f>
              <c:strCache>
                <c:ptCount val="1"/>
                <c:pt idx="0">
                  <c:v>Priority Score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Executive_Summary!$B$5:$B$19</c:f>
              <c:strCache>
                <c:ptCount val="15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O'Higgins</c:v>
                </c:pt>
                <c:pt idx="8">
                  <c:v>Maule</c:v>
                </c:pt>
                <c:pt idx="9">
                  <c:v>Biobío</c:v>
                </c:pt>
                <c:pt idx="10">
                  <c:v>Araucanía</c:v>
                </c:pt>
                <c:pt idx="11">
                  <c:v>Los Ríos</c:v>
                </c:pt>
                <c:pt idx="12">
                  <c:v>Los Lagos</c:v>
                </c:pt>
                <c:pt idx="13">
                  <c:v>Aysén</c:v>
                </c:pt>
                <c:pt idx="14">
                  <c:v>Magallanes y Antártica</c:v>
                </c:pt>
              </c:strCache>
            </c:strRef>
          </c:cat>
          <c:val>
            <c:numRef>
              <c:f>Executive_Summary!$L$5:$L$19</c:f>
              <c:numCache>
                <c:formatCode>0.0</c:formatCode>
                <c:ptCount val="15"/>
                <c:pt idx="0">
                  <c:v>31.2539116677056</c:v>
                </c:pt>
                <c:pt idx="1">
                  <c:v>31.9979411658656</c:v>
                </c:pt>
                <c:pt idx="2">
                  <c:v>38.822217961511</c:v>
                </c:pt>
                <c:pt idx="3">
                  <c:v>31.4826005023995</c:v>
                </c:pt>
                <c:pt idx="4">
                  <c:v>47.4210086778955</c:v>
                </c:pt>
                <c:pt idx="5">
                  <c:v>56.3110145837612</c:v>
                </c:pt>
                <c:pt idx="6">
                  <c:v>73.6596536971075</c:v>
                </c:pt>
                <c:pt idx="7">
                  <c:v>26.7082303818424</c:v>
                </c:pt>
                <c:pt idx="8">
                  <c:v>47.2956788955637</c:v>
                </c:pt>
                <c:pt idx="9">
                  <c:v>42.6679193740895</c:v>
                </c:pt>
                <c:pt idx="10">
                  <c:v>29.5939747500128</c:v>
                </c:pt>
                <c:pt idx="11">
                  <c:v>25.642976773994</c:v>
                </c:pt>
                <c:pt idx="12">
                  <c:v>47.1868915759855</c:v>
                </c:pt>
                <c:pt idx="13">
                  <c:v>24.7777886876142</c:v>
                </c:pt>
                <c:pt idx="14">
                  <c:v>41.6788955370365</c:v>
                </c:pt>
              </c:numCache>
            </c:numRef>
          </c:val>
        </c:ser>
        <c:gapWidth val="150"/>
        <c:overlap val="0"/>
        <c:axId val="34702271"/>
        <c:axId val="34570986"/>
      </c:barChart>
      <c:catAx>
        <c:axId val="3470227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570986"/>
        <c:crosses val="autoZero"/>
        <c:auto val="1"/>
        <c:lblAlgn val="ctr"/>
        <c:lblOffset val="100"/>
        <c:noMultiLvlLbl val="0"/>
      </c:catAx>
      <c:valAx>
        <c:axId val="3457098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702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  <a:ea typeface="Calibri"/>
              </a:rPr>
              <a:t>Regional Budget Allocation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"USD M"</c:f>
              <c:strCache>
                <c:ptCount val="1"/>
                <c:pt idx="0">
                  <c:v>USD M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Budget_Allocation!$B$4:$B$16</c:f>
              <c:strCache>
                <c:ptCount val="13"/>
                <c:pt idx="0">
                  <c:v>Metropolitana</c:v>
                </c:pt>
                <c:pt idx="1">
                  <c:v>Valparaíso</c:v>
                </c:pt>
                <c:pt idx="2">
                  <c:v>Coquimbo</c:v>
                </c:pt>
                <c:pt idx="3">
                  <c:v>Los Lagos</c:v>
                </c:pt>
                <c:pt idx="4">
                  <c:v>Magallanes y Antártica</c:v>
                </c:pt>
                <c:pt idx="5">
                  <c:v>Maule</c:v>
                </c:pt>
                <c:pt idx="6">
                  <c:v>Biobío</c:v>
                </c:pt>
                <c:pt idx="7">
                  <c:v>Antofagasta</c:v>
                </c:pt>
                <c:pt idx="8">
                  <c:v>Araucanía</c:v>
                </c:pt>
                <c:pt idx="9">
                  <c:v>Atacama</c:v>
                </c:pt>
                <c:pt idx="10">
                  <c:v>Aysén</c:v>
                </c:pt>
                <c:pt idx="11">
                  <c:v>Los Ríos</c:v>
                </c:pt>
                <c:pt idx="12">
                  <c:v>O'Higgins</c:v>
                </c:pt>
              </c:strCache>
            </c:strRef>
          </c:cat>
          <c:val>
            <c:numRef>
              <c:f>Budget_Allocation!$M$4:$M$16</c:f>
              <c:numCache>
                <c:formatCode>\$0.00</c:formatCode>
                <c:ptCount val="13"/>
                <c:pt idx="0">
                  <c:v>6.5</c:v>
                </c:pt>
                <c:pt idx="1">
                  <c:v>6.75</c:v>
                </c:pt>
                <c:pt idx="2">
                  <c:v>5.25</c:v>
                </c:pt>
                <c:pt idx="3">
                  <c:v>6.25</c:v>
                </c:pt>
                <c:pt idx="4">
                  <c:v>5.5</c:v>
                </c:pt>
                <c:pt idx="5">
                  <c:v>1.5</c:v>
                </c:pt>
                <c:pt idx="6">
                  <c:v>2</c:v>
                </c:pt>
                <c:pt idx="7">
                  <c:v>1.5</c:v>
                </c:pt>
                <c:pt idx="8">
                  <c:v>3</c:v>
                </c:pt>
                <c:pt idx="9">
                  <c:v>1.5</c:v>
                </c:pt>
                <c:pt idx="10">
                  <c:v>1.75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gapWidth val="150"/>
        <c:overlap val="0"/>
        <c:axId val="12455560"/>
        <c:axId val="65151743"/>
      </c:barChart>
      <c:catAx>
        <c:axId val="1245556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151743"/>
        <c:crosses val="autoZero"/>
        <c:auto val="1"/>
        <c:lblAlgn val="ctr"/>
        <c:lblOffset val="100"/>
        <c:noMultiLvlLbl val="0"/>
      </c:catAx>
      <c:valAx>
        <c:axId val="6515174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455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3</xdr:row>
      <xdr:rowOff>0</xdr:rowOff>
    </xdr:from>
    <xdr:to>
      <xdr:col>22</xdr:col>
      <xdr:colOff>610200</xdr:colOff>
      <xdr:row>11</xdr:row>
      <xdr:rowOff>283320</xdr:rowOff>
    </xdr:to>
    <xdr:graphicFrame>
      <xdr:nvGraphicFramePr>
        <xdr:cNvPr id="0" name="Chart 1"/>
        <xdr:cNvGraphicFramePr/>
      </xdr:nvGraphicFramePr>
      <xdr:xfrm>
        <a:off x="17245440" y="628560"/>
        <a:ext cx="4886280" cy="462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0</xdr:rowOff>
    </xdr:from>
    <xdr:to>
      <xdr:col>21</xdr:col>
      <xdr:colOff>610560</xdr:colOff>
      <xdr:row>17</xdr:row>
      <xdr:rowOff>187920</xdr:rowOff>
    </xdr:to>
    <xdr:graphicFrame>
      <xdr:nvGraphicFramePr>
        <xdr:cNvPr id="1" name="Chart 1"/>
        <xdr:cNvGraphicFramePr/>
      </xdr:nvGraphicFramePr>
      <xdr:xfrm>
        <a:off x="13368600" y="571680"/>
        <a:ext cx="488664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44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0" min="9" style="1" width="13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3"/>
  </cols>
  <sheetData>
    <row r="1" customFormat="false" ht="2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7.7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customFormat="false" ht="50.25" hidden="false" customHeight="true" outlineLevel="0" collapsed="false">
      <c r="A5" s="6" t="s">
        <v>16</v>
      </c>
      <c r="B5" s="6" t="s">
        <v>17</v>
      </c>
      <c r="C5" s="7" t="s">
        <v>18</v>
      </c>
      <c r="D5" s="6" t="s">
        <v>19</v>
      </c>
      <c r="E5" s="6" t="s">
        <v>20</v>
      </c>
      <c r="F5" s="6" t="s">
        <v>21</v>
      </c>
      <c r="G5" s="8" t="n">
        <v>29.2155534229283</v>
      </c>
      <c r="H5" s="8" t="n">
        <v>27.9386239344075</v>
      </c>
      <c r="I5" s="8" t="n">
        <v>29.5347857950585</v>
      </c>
      <c r="J5" s="8" t="n">
        <v>36.2641968820741</v>
      </c>
      <c r="K5" s="8" t="n">
        <v>28.8343794580961</v>
      </c>
      <c r="L5" s="8" t="n">
        <f aca="false">0.5*G5+0.3*J5+0.2*K5</f>
        <v>31.2539116677056</v>
      </c>
      <c r="M5" s="8" t="n">
        <v>57</v>
      </c>
      <c r="N5" s="8" t="n">
        <v>138.391326273323</v>
      </c>
    </row>
    <row r="6" customFormat="false" ht="60" hidden="false" customHeight="true" outlineLevel="0" collapsed="false">
      <c r="A6" s="9" t="s">
        <v>22</v>
      </c>
      <c r="B6" s="9" t="s">
        <v>23</v>
      </c>
      <c r="C6" s="7" t="s">
        <v>18</v>
      </c>
      <c r="D6" s="9" t="s">
        <v>24</v>
      </c>
      <c r="E6" s="9" t="s">
        <v>25</v>
      </c>
      <c r="F6" s="9" t="s">
        <v>26</v>
      </c>
      <c r="G6" s="10" t="n">
        <v>26.6255751478058</v>
      </c>
      <c r="H6" s="10" t="n">
        <v>21.4186941223457</v>
      </c>
      <c r="I6" s="10" t="n">
        <v>27.9272954041708</v>
      </c>
      <c r="J6" s="10" t="n">
        <v>39.5209434086984</v>
      </c>
      <c r="K6" s="10" t="n">
        <v>34.144352846766</v>
      </c>
      <c r="L6" s="10" t="n">
        <f aca="false">0.5*G6+0.3*J6+0.2*K6</f>
        <v>31.9979411658656</v>
      </c>
      <c r="M6" s="10" t="n">
        <v>57.15</v>
      </c>
      <c r="N6" s="10" t="n">
        <v>148.027659908848</v>
      </c>
    </row>
    <row r="7" customFormat="false" ht="36.75" hidden="false" customHeight="true" outlineLevel="0" collapsed="false">
      <c r="A7" s="6" t="s">
        <v>27</v>
      </c>
      <c r="B7" s="6" t="s">
        <v>28</v>
      </c>
      <c r="C7" s="11" t="s">
        <v>29</v>
      </c>
      <c r="D7" s="6" t="s">
        <v>25</v>
      </c>
      <c r="E7" s="6" t="s">
        <v>20</v>
      </c>
      <c r="F7" s="6" t="s">
        <v>30</v>
      </c>
      <c r="G7" s="8" t="n">
        <v>36.1634455576089</v>
      </c>
      <c r="H7" s="8" t="n">
        <v>32.6008862362755</v>
      </c>
      <c r="I7" s="8" t="n">
        <v>37.0540853879423</v>
      </c>
      <c r="J7" s="8" t="n">
        <v>35.3847034571171</v>
      </c>
      <c r="K7" s="8" t="n">
        <v>50.625420727857</v>
      </c>
      <c r="L7" s="8" t="n">
        <f aca="false">0.5*G7+0.3*J7+0.2*K7</f>
        <v>38.822217961511</v>
      </c>
      <c r="M7" s="8" t="n">
        <v>54.2</v>
      </c>
      <c r="N7" s="8" t="n">
        <v>126.890830988002</v>
      </c>
    </row>
    <row r="8" customFormat="false" ht="36" hidden="false" customHeight="true" outlineLevel="0" collapsed="false">
      <c r="A8" s="9" t="s">
        <v>31</v>
      </c>
      <c r="B8" s="9" t="s">
        <v>32</v>
      </c>
      <c r="C8" s="11" t="s">
        <v>29</v>
      </c>
      <c r="D8" s="9" t="s">
        <v>25</v>
      </c>
      <c r="E8" s="9" t="s">
        <v>33</v>
      </c>
      <c r="F8" s="9" t="s">
        <v>34</v>
      </c>
      <c r="G8" s="10" t="n">
        <v>26.2832862004835</v>
      </c>
      <c r="H8" s="10" t="n">
        <v>21.9795820700632</v>
      </c>
      <c r="I8" s="10" t="n">
        <v>27.3592122330885</v>
      </c>
      <c r="J8" s="10" t="n">
        <v>41.2276330939418</v>
      </c>
      <c r="K8" s="10" t="n">
        <v>29.8633373698762</v>
      </c>
      <c r="L8" s="10" t="n">
        <f aca="false">0.5*G8+0.3*J8+0.2*K8</f>
        <v>31.4826005023995</v>
      </c>
      <c r="M8" s="10" t="n">
        <v>57.35</v>
      </c>
      <c r="N8" s="10" t="n">
        <v>138.212003055031</v>
      </c>
    </row>
    <row r="9" customFormat="false" ht="48" hidden="false" customHeight="true" outlineLevel="0" collapsed="false">
      <c r="A9" s="6" t="s">
        <v>35</v>
      </c>
      <c r="B9" s="6" t="s">
        <v>36</v>
      </c>
      <c r="C9" s="12" t="s">
        <v>37</v>
      </c>
      <c r="D9" s="6" t="s">
        <v>33</v>
      </c>
      <c r="E9" s="6" t="s">
        <v>25</v>
      </c>
      <c r="F9" s="6" t="s">
        <v>38</v>
      </c>
      <c r="G9" s="8" t="n">
        <v>34.3861519779817</v>
      </c>
      <c r="H9" s="8" t="n">
        <v>29.8480717193451</v>
      </c>
      <c r="I9" s="8" t="n">
        <v>35.5206720426408</v>
      </c>
      <c r="J9" s="8" t="n">
        <v>62.3102239294786</v>
      </c>
      <c r="K9" s="8" t="n">
        <v>57.6743275503052</v>
      </c>
      <c r="L9" s="8" t="n">
        <f aca="false">0.5*G9+0.3*J9+0.2*K9</f>
        <v>47.4210086778955</v>
      </c>
      <c r="M9" s="8" t="n">
        <v>61.475</v>
      </c>
      <c r="N9" s="8" t="n">
        <v>158.345722394918</v>
      </c>
    </row>
    <row r="10" customFormat="false" ht="38.25" hidden="false" customHeight="true" outlineLevel="0" collapsed="false">
      <c r="A10" s="9" t="s">
        <v>39</v>
      </c>
      <c r="B10" s="9" t="s">
        <v>40</v>
      </c>
      <c r="C10" s="12" t="s">
        <v>37</v>
      </c>
      <c r="D10" s="9" t="s">
        <v>33</v>
      </c>
      <c r="E10" s="9" t="s">
        <v>20</v>
      </c>
      <c r="F10" s="9" t="s">
        <v>41</v>
      </c>
      <c r="G10" s="10" t="n">
        <v>42.4972864201178</v>
      </c>
      <c r="H10" s="10" t="n">
        <v>46.0076672964904</v>
      </c>
      <c r="I10" s="10" t="n">
        <v>41.6196912010247</v>
      </c>
      <c r="J10" s="10" t="n">
        <v>70.9040015190126</v>
      </c>
      <c r="K10" s="10" t="n">
        <v>68.9558545899927</v>
      </c>
      <c r="L10" s="10" t="n">
        <f aca="false">0.5*G10+0.3*J10+0.2*K10</f>
        <v>56.3110145837612</v>
      </c>
      <c r="M10" s="10" t="n">
        <v>64.325</v>
      </c>
      <c r="N10" s="10" t="n">
        <v>128.764969713784</v>
      </c>
    </row>
    <row r="11" customFormat="false" ht="45" hidden="false" customHeight="true" outlineLevel="0" collapsed="false">
      <c r="A11" s="6" t="s">
        <v>42</v>
      </c>
      <c r="B11" s="6" t="s">
        <v>43</v>
      </c>
      <c r="C11" s="12" t="s">
        <v>37</v>
      </c>
      <c r="D11" s="13" t="s">
        <v>20</v>
      </c>
      <c r="E11" s="13" t="s">
        <v>44</v>
      </c>
      <c r="F11" s="13" t="s">
        <v>45</v>
      </c>
      <c r="G11" s="8" t="n">
        <v>51.0274067023143</v>
      </c>
      <c r="H11" s="8" t="n">
        <v>34.4946864018462</v>
      </c>
      <c r="I11" s="8" t="n">
        <v>55.1605867774313</v>
      </c>
      <c r="J11" s="8" t="n">
        <v>95.2307692307692</v>
      </c>
      <c r="K11" s="8" t="n">
        <v>97.8835978835979</v>
      </c>
      <c r="L11" s="8" t="n">
        <f aca="false">0.5*G11+0.3*J11+0.2*K11</f>
        <v>73.6596536971075</v>
      </c>
      <c r="M11" s="8" t="n">
        <v>62</v>
      </c>
      <c r="N11" s="8" t="n">
        <v>174.714139138345</v>
      </c>
    </row>
    <row r="12" customFormat="false" ht="39" hidden="false" customHeight="true" outlineLevel="0" collapsed="false">
      <c r="A12" s="9" t="s">
        <v>46</v>
      </c>
      <c r="B12" s="9" t="s">
        <v>47</v>
      </c>
      <c r="C12" s="11" t="s">
        <v>29</v>
      </c>
      <c r="D12" s="9" t="s">
        <v>48</v>
      </c>
      <c r="E12" s="9" t="s">
        <v>20</v>
      </c>
      <c r="F12" s="9" t="s">
        <v>49</v>
      </c>
      <c r="G12" s="10" t="n">
        <v>27.6903849863783</v>
      </c>
      <c r="H12" s="10" t="n">
        <v>29.737325680915</v>
      </c>
      <c r="I12" s="10" t="n">
        <v>27.1786498127441</v>
      </c>
      <c r="J12" s="10" t="n">
        <v>30.3996407443146</v>
      </c>
      <c r="K12" s="10" t="n">
        <v>18.7157283267943</v>
      </c>
      <c r="L12" s="10" t="n">
        <f aca="false">0.5*G12+0.3*J12+0.2*K12</f>
        <v>26.7082303818424</v>
      </c>
      <c r="M12" s="10" t="n">
        <v>58.25</v>
      </c>
      <c r="N12" s="10" t="n">
        <v>122.289536179906</v>
      </c>
    </row>
    <row r="13" customFormat="false" ht="39" hidden="false" customHeight="true" outlineLevel="0" collapsed="false">
      <c r="A13" s="6" t="s">
        <v>50</v>
      </c>
      <c r="B13" s="6" t="s">
        <v>51</v>
      </c>
      <c r="C13" s="11" t="s">
        <v>29</v>
      </c>
      <c r="D13" s="6" t="s">
        <v>24</v>
      </c>
      <c r="E13" s="6" t="s">
        <v>44</v>
      </c>
      <c r="F13" s="6" t="s">
        <v>52</v>
      </c>
      <c r="G13" s="8" t="n">
        <v>28.1172040286969</v>
      </c>
      <c r="H13" s="8" t="n">
        <v>28.7233293739601</v>
      </c>
      <c r="I13" s="8" t="n">
        <v>27.965672692381</v>
      </c>
      <c r="J13" s="8" t="n">
        <v>59.352236325538</v>
      </c>
      <c r="K13" s="8" t="n">
        <v>77.1570299177692</v>
      </c>
      <c r="L13" s="8" t="n">
        <f aca="false">0.5*G13+0.3*J13+0.2*K13</f>
        <v>47.2956788955637</v>
      </c>
      <c r="M13" s="8" t="n">
        <v>62.75</v>
      </c>
      <c r="N13" s="8" t="n">
        <v>157.656873080625</v>
      </c>
    </row>
    <row r="14" customFormat="false" ht="35.25" hidden="false" customHeight="true" outlineLevel="0" collapsed="false">
      <c r="A14" s="9" t="s">
        <v>53</v>
      </c>
      <c r="B14" s="9" t="s">
        <v>54</v>
      </c>
      <c r="C14" s="11" t="s">
        <v>29</v>
      </c>
      <c r="D14" s="9" t="s">
        <v>20</v>
      </c>
      <c r="E14" s="9" t="s">
        <v>44</v>
      </c>
      <c r="F14" s="9" t="s">
        <v>45</v>
      </c>
      <c r="G14" s="10" t="n">
        <v>36.8461731158971</v>
      </c>
      <c r="H14" s="10" t="n">
        <v>26.5597708567682</v>
      </c>
      <c r="I14" s="10" t="n">
        <v>39.4177736806793</v>
      </c>
      <c r="J14" s="10" t="n">
        <v>45.6385409452134</v>
      </c>
      <c r="K14" s="10" t="n">
        <v>52.7663526628845</v>
      </c>
      <c r="L14" s="10" t="n">
        <f aca="false">0.5*G14+0.3*J14+0.2*K14</f>
        <v>42.6679193740895</v>
      </c>
      <c r="M14" s="10" t="n">
        <v>54.35</v>
      </c>
      <c r="N14" s="10" t="n">
        <v>150.958311822406</v>
      </c>
    </row>
    <row r="15" customFormat="false" ht="36" hidden="false" customHeight="true" outlineLevel="0" collapsed="false">
      <c r="A15" s="6" t="s">
        <v>55</v>
      </c>
      <c r="B15" s="6" t="s">
        <v>56</v>
      </c>
      <c r="C15" s="11" t="s">
        <v>29</v>
      </c>
      <c r="D15" s="6" t="s">
        <v>24</v>
      </c>
      <c r="E15" s="6" t="s">
        <v>44</v>
      </c>
      <c r="F15" s="6" t="s">
        <v>52</v>
      </c>
      <c r="G15" s="8" t="n">
        <v>33.5927313370866</v>
      </c>
      <c r="H15" s="8" t="n">
        <v>42.672929029755</v>
      </c>
      <c r="I15" s="8" t="n">
        <v>31.3226819139195</v>
      </c>
      <c r="J15" s="8" t="n">
        <v>35.7093950746512</v>
      </c>
      <c r="K15" s="8" t="n">
        <v>10.4239527953707</v>
      </c>
      <c r="L15" s="8" t="n">
        <f aca="false">0.5*G15+0.3*J15+0.2*K15</f>
        <v>29.5939747500128</v>
      </c>
      <c r="M15" s="8" t="n">
        <v>49.7</v>
      </c>
      <c r="N15" s="8" t="n">
        <v>143.231717382931</v>
      </c>
    </row>
    <row r="16" customFormat="false" ht="42" hidden="false" customHeight="true" outlineLevel="0" collapsed="false">
      <c r="A16" s="9" t="s">
        <v>57</v>
      </c>
      <c r="B16" s="9" t="s">
        <v>58</v>
      </c>
      <c r="C16" s="11" t="s">
        <v>29</v>
      </c>
      <c r="D16" s="9" t="s">
        <v>24</v>
      </c>
      <c r="E16" s="9" t="s">
        <v>59</v>
      </c>
      <c r="F16" s="9" t="s">
        <v>60</v>
      </c>
      <c r="G16" s="10" t="n">
        <v>26.84300535656</v>
      </c>
      <c r="H16" s="10" t="n">
        <v>23.5626329834762</v>
      </c>
      <c r="I16" s="10" t="n">
        <v>27.663098449831</v>
      </c>
      <c r="J16" s="10" t="n">
        <v>29.8261804736092</v>
      </c>
      <c r="K16" s="10" t="n">
        <v>16.3680997681561</v>
      </c>
      <c r="L16" s="10" t="n">
        <f aca="false">0.5*G16+0.3*J16+0.2*K16</f>
        <v>25.642976773994</v>
      </c>
      <c r="M16" s="10" t="n">
        <v>53.775</v>
      </c>
      <c r="N16" s="10" t="n">
        <v>133.104156435555</v>
      </c>
    </row>
    <row r="17" customFormat="false" ht="33.75" hidden="false" customHeight="true" outlineLevel="0" collapsed="false">
      <c r="A17" s="6" t="s">
        <v>61</v>
      </c>
      <c r="B17" s="6" t="s">
        <v>62</v>
      </c>
      <c r="C17" s="12" t="s">
        <v>37</v>
      </c>
      <c r="D17" s="6" t="s">
        <v>33</v>
      </c>
      <c r="E17" s="6" t="s">
        <v>59</v>
      </c>
      <c r="F17" s="6" t="s">
        <v>63</v>
      </c>
      <c r="G17" s="8" t="n">
        <v>44.2946955257952</v>
      </c>
      <c r="H17" s="8" t="n">
        <v>38.7694884490692</v>
      </c>
      <c r="I17" s="8" t="n">
        <v>45.6759972949766</v>
      </c>
      <c r="J17" s="8" t="n">
        <v>53.3649879374229</v>
      </c>
      <c r="K17" s="8" t="n">
        <v>45.1502371593051</v>
      </c>
      <c r="L17" s="8" t="n">
        <f aca="false">0.5*G17+0.3*J17+0.2*K17</f>
        <v>47.1868915759855</v>
      </c>
      <c r="M17" s="8" t="n">
        <v>53.425</v>
      </c>
      <c r="N17" s="8" t="n">
        <v>150.25074602122</v>
      </c>
    </row>
    <row r="18" customFormat="false" ht="33.75" hidden="false" customHeight="true" outlineLevel="0" collapsed="false">
      <c r="A18" s="9" t="s">
        <v>64</v>
      </c>
      <c r="B18" s="9" t="s">
        <v>65</v>
      </c>
      <c r="C18" s="11" t="s">
        <v>29</v>
      </c>
      <c r="D18" s="13" t="s">
        <v>59</v>
      </c>
      <c r="E18" s="13" t="s">
        <v>44</v>
      </c>
      <c r="F18" s="13" t="s">
        <v>66</v>
      </c>
      <c r="G18" s="10" t="n">
        <v>33.990959621196</v>
      </c>
      <c r="H18" s="10" t="n">
        <v>31.9548051916554</v>
      </c>
      <c r="I18" s="10" t="n">
        <v>34.4999982285812</v>
      </c>
      <c r="J18" s="10" t="n">
        <v>11.1570528916498</v>
      </c>
      <c r="K18" s="10" t="n">
        <v>22.1759650476062</v>
      </c>
      <c r="L18" s="10" t="n">
        <f aca="false">0.5*G18+0.3*J18+0.2*K18</f>
        <v>24.7777886876142</v>
      </c>
      <c r="M18" s="10" t="n">
        <v>54.9333333333333</v>
      </c>
      <c r="N18" s="10" t="n">
        <v>123.395721925134</v>
      </c>
    </row>
    <row r="19" customFormat="false" ht="42.75" hidden="false" customHeight="true" outlineLevel="0" collapsed="false">
      <c r="A19" s="6" t="s">
        <v>67</v>
      </c>
      <c r="B19" s="6" t="s">
        <v>68</v>
      </c>
      <c r="C19" s="12" t="s">
        <v>37</v>
      </c>
      <c r="D19" s="13" t="s">
        <v>59</v>
      </c>
      <c r="E19" s="13" t="s">
        <v>33</v>
      </c>
      <c r="F19" s="13" t="s">
        <v>69</v>
      </c>
      <c r="G19" s="8" t="n">
        <v>39.4909881012089</v>
      </c>
      <c r="H19" s="8" t="n">
        <v>32.169180384983</v>
      </c>
      <c r="I19" s="8" t="n">
        <v>41.3214400302654</v>
      </c>
      <c r="J19" s="8" t="n">
        <v>35.0899930188912</v>
      </c>
      <c r="K19" s="8" t="n">
        <v>57.0320179038233</v>
      </c>
      <c r="L19" s="8" t="n">
        <f aca="false">0.5*G19+0.3*J19+0.2*K19</f>
        <v>41.6788955370365</v>
      </c>
      <c r="M19" s="8" t="n">
        <v>55.775</v>
      </c>
      <c r="N19" s="8" t="n">
        <v>135.49344227048</v>
      </c>
    </row>
  </sheetData>
  <mergeCells count="2">
    <mergeCell ref="A1:N1"/>
    <mergeCell ref="A2:N2"/>
  </mergeCells>
  <conditionalFormatting sqref="L5:L19">
    <cfRule type="colorScale" priority="2">
      <colorScale>
        <cfvo type="min" val="0"/>
        <cfvo type="percentile" val="50"/>
        <cfvo type="max" val="0"/>
        <color rgb="FFF6D8D8"/>
        <color rgb="FFFFF1B8"/>
        <color rgb="FFDCECC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5" min="4" style="1" width="18"/>
    <col collapsed="false" customWidth="true" hidden="false" outlineLevel="0" max="6" min="6" style="1" width="38"/>
    <col collapsed="false" customWidth="true" hidden="false" outlineLevel="0" max="8" min="7" style="1" width="20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2" min="11" style="1" width="14"/>
    <col collapsed="false" customWidth="true" hidden="false" outlineLevel="0" max="13" min="13" style="1" width="44"/>
  </cols>
  <sheetData>
    <row r="1" customFormat="false" ht="27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14" t="s">
        <v>71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27.75" hidden="false" customHeight="true" outlineLevel="0" collapsed="false">
      <c r="A3" s="5" t="s">
        <v>2</v>
      </c>
      <c r="B3" s="5" t="s">
        <v>3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13</v>
      </c>
      <c r="J3" s="5" t="s">
        <v>78</v>
      </c>
      <c r="K3" s="5" t="s">
        <v>14</v>
      </c>
      <c r="L3" s="5" t="s">
        <v>79</v>
      </c>
      <c r="M3" s="5" t="s">
        <v>80</v>
      </c>
    </row>
    <row r="4" customFormat="false" ht="41.25" hidden="false" customHeight="true" outlineLevel="0" collapsed="false">
      <c r="A4" s="6" t="s">
        <v>16</v>
      </c>
      <c r="B4" s="6" t="s">
        <v>17</v>
      </c>
      <c r="C4" s="16" t="s">
        <v>18</v>
      </c>
      <c r="D4" s="6" t="s">
        <v>19</v>
      </c>
      <c r="E4" s="6" t="s">
        <v>20</v>
      </c>
      <c r="F4" s="6" t="s">
        <v>21</v>
      </c>
      <c r="G4" s="6" t="s">
        <v>81</v>
      </c>
      <c r="H4" s="6" t="s">
        <v>82</v>
      </c>
      <c r="I4" s="8" t="n">
        <v>31.2539116677056</v>
      </c>
      <c r="J4" s="17" t="n">
        <v>89450</v>
      </c>
      <c r="K4" s="8" t="n">
        <v>57</v>
      </c>
      <c r="L4" s="18" t="n">
        <v>120.4725</v>
      </c>
      <c r="M4" s="6" t="s">
        <v>83</v>
      </c>
    </row>
    <row r="5" customFormat="false" ht="54" hidden="false" customHeight="true" outlineLevel="0" collapsed="false">
      <c r="A5" s="9" t="s">
        <v>22</v>
      </c>
      <c r="B5" s="9" t="s">
        <v>23</v>
      </c>
      <c r="C5" s="16" t="s">
        <v>18</v>
      </c>
      <c r="D5" s="9" t="s">
        <v>24</v>
      </c>
      <c r="E5" s="9" t="s">
        <v>25</v>
      </c>
      <c r="F5" s="9" t="s">
        <v>26</v>
      </c>
      <c r="G5" s="9" t="s">
        <v>84</v>
      </c>
      <c r="H5" s="9" t="s">
        <v>85</v>
      </c>
      <c r="I5" s="10" t="n">
        <v>31.9979411658656</v>
      </c>
      <c r="J5" s="19" t="n">
        <v>86385</v>
      </c>
      <c r="K5" s="10" t="n">
        <v>57.15</v>
      </c>
      <c r="L5" s="20" t="n">
        <v>117.5975</v>
      </c>
      <c r="M5" s="9" t="s">
        <v>83</v>
      </c>
    </row>
    <row r="6" customFormat="false" ht="45" hidden="false" customHeight="true" outlineLevel="0" collapsed="false">
      <c r="A6" s="6" t="s">
        <v>27</v>
      </c>
      <c r="B6" s="6" t="s">
        <v>28</v>
      </c>
      <c r="C6" s="21" t="s">
        <v>29</v>
      </c>
      <c r="D6" s="6" t="s">
        <v>25</v>
      </c>
      <c r="E6" s="6" t="s">
        <v>20</v>
      </c>
      <c r="F6" s="6" t="s">
        <v>30</v>
      </c>
      <c r="G6" s="6" t="s">
        <v>86</v>
      </c>
      <c r="H6" s="6" t="s">
        <v>87</v>
      </c>
      <c r="I6" s="8" t="n">
        <v>38.822217961511</v>
      </c>
      <c r="J6" s="17" t="n">
        <v>139385</v>
      </c>
      <c r="K6" s="8" t="n">
        <v>54.2</v>
      </c>
      <c r="L6" s="18" t="n">
        <v>121.5225</v>
      </c>
      <c r="M6" s="6" t="s">
        <v>88</v>
      </c>
    </row>
    <row r="7" customFormat="false" ht="48" hidden="false" customHeight="true" outlineLevel="0" collapsed="false">
      <c r="A7" s="9" t="s">
        <v>31</v>
      </c>
      <c r="B7" s="9" t="s">
        <v>32</v>
      </c>
      <c r="C7" s="21" t="s">
        <v>29</v>
      </c>
      <c r="D7" s="9" t="s">
        <v>25</v>
      </c>
      <c r="E7" s="9" t="s">
        <v>33</v>
      </c>
      <c r="F7" s="9" t="s">
        <v>34</v>
      </c>
      <c r="G7" s="9" t="s">
        <v>89</v>
      </c>
      <c r="H7" s="9" t="s">
        <v>90</v>
      </c>
      <c r="I7" s="10" t="n">
        <v>31.4826005023995</v>
      </c>
      <c r="J7" s="19" t="n">
        <v>110003</v>
      </c>
      <c r="K7" s="10" t="n">
        <v>57.35</v>
      </c>
      <c r="L7" s="20" t="n">
        <v>121.285</v>
      </c>
      <c r="M7" s="9" t="s">
        <v>88</v>
      </c>
    </row>
    <row r="8" customFormat="false" ht="45.75" hidden="false" customHeight="true" outlineLevel="0" collapsed="false">
      <c r="A8" s="6" t="s">
        <v>35</v>
      </c>
      <c r="B8" s="6" t="s">
        <v>36</v>
      </c>
      <c r="C8" s="22" t="s">
        <v>37</v>
      </c>
      <c r="D8" s="6" t="s">
        <v>33</v>
      </c>
      <c r="E8" s="6" t="s">
        <v>25</v>
      </c>
      <c r="F8" s="6" t="s">
        <v>38</v>
      </c>
      <c r="G8" s="6" t="s">
        <v>91</v>
      </c>
      <c r="H8" s="6" t="s">
        <v>92</v>
      </c>
      <c r="I8" s="8" t="n">
        <v>47.4210086778955</v>
      </c>
      <c r="J8" s="17" t="n">
        <v>139401</v>
      </c>
      <c r="K8" s="8" t="n">
        <v>61.475</v>
      </c>
      <c r="L8" s="18" t="n">
        <v>132.575</v>
      </c>
      <c r="M8" s="6" t="s">
        <v>93</v>
      </c>
    </row>
    <row r="9" customFormat="false" ht="21.75" hidden="false" customHeight="true" outlineLevel="0" collapsed="false">
      <c r="A9" s="9" t="s">
        <v>39</v>
      </c>
      <c r="B9" s="9" t="s">
        <v>40</v>
      </c>
      <c r="C9" s="22" t="s">
        <v>37</v>
      </c>
      <c r="D9" s="9" t="s">
        <v>33</v>
      </c>
      <c r="E9" s="9" t="s">
        <v>20</v>
      </c>
      <c r="F9" s="9" t="s">
        <v>41</v>
      </c>
      <c r="G9" s="9" t="s">
        <v>94</v>
      </c>
      <c r="H9" s="9" t="s">
        <v>95</v>
      </c>
      <c r="I9" s="10" t="n">
        <v>56.3110145837612</v>
      </c>
      <c r="J9" s="19" t="n">
        <v>273183</v>
      </c>
      <c r="K9" s="10" t="n">
        <v>64.325</v>
      </c>
      <c r="L9" s="20" t="n">
        <v>135.7025</v>
      </c>
      <c r="M9" s="9" t="s">
        <v>93</v>
      </c>
    </row>
    <row r="10" customFormat="false" ht="21.75" hidden="false" customHeight="true" outlineLevel="0" collapsed="false">
      <c r="A10" s="6" t="s">
        <v>42</v>
      </c>
      <c r="B10" s="6" t="s">
        <v>43</v>
      </c>
      <c r="C10" s="22" t="s">
        <v>37</v>
      </c>
      <c r="D10" s="13" t="s">
        <v>20</v>
      </c>
      <c r="E10" s="13" t="s">
        <v>44</v>
      </c>
      <c r="F10" s="13" t="s">
        <v>45</v>
      </c>
      <c r="G10" s="6" t="s">
        <v>96</v>
      </c>
      <c r="H10" s="6" t="s">
        <v>97</v>
      </c>
      <c r="I10" s="8" t="n">
        <v>73.6596536971075</v>
      </c>
      <c r="J10" s="17" t="n">
        <v>475650</v>
      </c>
      <c r="K10" s="8" t="n">
        <v>62</v>
      </c>
      <c r="L10" s="18" t="n">
        <v>177.9475</v>
      </c>
      <c r="M10" s="6" t="s">
        <v>93</v>
      </c>
    </row>
    <row r="11" customFormat="false" ht="21.75" hidden="false" customHeight="true" outlineLevel="0" collapsed="false">
      <c r="A11" s="9" t="s">
        <v>46</v>
      </c>
      <c r="B11" s="9" t="s">
        <v>47</v>
      </c>
      <c r="C11" s="21" t="s">
        <v>29</v>
      </c>
      <c r="D11" s="9" t="s">
        <v>48</v>
      </c>
      <c r="E11" s="9" t="s">
        <v>20</v>
      </c>
      <c r="F11" s="9" t="s">
        <v>49</v>
      </c>
      <c r="G11" s="9" t="s">
        <v>98</v>
      </c>
      <c r="H11" s="9" t="s">
        <v>99</v>
      </c>
      <c r="I11" s="10" t="n">
        <v>26.7082303818424</v>
      </c>
      <c r="J11" s="19" t="n">
        <v>80165</v>
      </c>
      <c r="K11" s="10" t="n">
        <v>58.25</v>
      </c>
      <c r="L11" s="20" t="n">
        <v>105.1225</v>
      </c>
      <c r="M11" s="9" t="s">
        <v>88</v>
      </c>
    </row>
    <row r="12" customFormat="false" ht="21.75" hidden="false" customHeight="true" outlineLevel="0" collapsed="false">
      <c r="A12" s="6" t="s">
        <v>50</v>
      </c>
      <c r="B12" s="6" t="s">
        <v>51</v>
      </c>
      <c r="C12" s="21" t="s">
        <v>29</v>
      </c>
      <c r="D12" s="6" t="s">
        <v>24</v>
      </c>
      <c r="E12" s="6" t="s">
        <v>44</v>
      </c>
      <c r="F12" s="6" t="s">
        <v>52</v>
      </c>
      <c r="G12" s="6" t="s">
        <v>100</v>
      </c>
      <c r="H12" s="6" t="s">
        <v>101</v>
      </c>
      <c r="I12" s="8" t="n">
        <v>47.2956788955637</v>
      </c>
      <c r="J12" s="17" t="n">
        <v>108066</v>
      </c>
      <c r="K12" s="8" t="n">
        <v>62.75</v>
      </c>
      <c r="L12" s="18" t="n">
        <v>159.355</v>
      </c>
      <c r="M12" s="6" t="s">
        <v>88</v>
      </c>
    </row>
    <row r="13" customFormat="false" ht="21.75" hidden="false" customHeight="true" outlineLevel="0" collapsed="false">
      <c r="A13" s="9" t="s">
        <v>53</v>
      </c>
      <c r="B13" s="9" t="s">
        <v>54</v>
      </c>
      <c r="C13" s="21" t="s">
        <v>29</v>
      </c>
      <c r="D13" s="9" t="s">
        <v>20</v>
      </c>
      <c r="E13" s="9" t="s">
        <v>44</v>
      </c>
      <c r="F13" s="9" t="s">
        <v>45</v>
      </c>
      <c r="G13" s="9" t="s">
        <v>102</v>
      </c>
      <c r="H13" s="9" t="s">
        <v>103</v>
      </c>
      <c r="I13" s="10" t="n">
        <v>42.6679193740894</v>
      </c>
      <c r="J13" s="19" t="n">
        <v>144588</v>
      </c>
      <c r="K13" s="10" t="n">
        <v>54.35</v>
      </c>
      <c r="L13" s="20" t="n">
        <v>128.78</v>
      </c>
      <c r="M13" s="9" t="s">
        <v>88</v>
      </c>
    </row>
    <row r="14" customFormat="false" ht="21.75" hidden="false" customHeight="true" outlineLevel="0" collapsed="false">
      <c r="A14" s="6" t="s">
        <v>55</v>
      </c>
      <c r="B14" s="6" t="s">
        <v>56</v>
      </c>
      <c r="C14" s="21" t="s">
        <v>29</v>
      </c>
      <c r="D14" s="6" t="s">
        <v>24</v>
      </c>
      <c r="E14" s="6" t="s">
        <v>44</v>
      </c>
      <c r="F14" s="6" t="s">
        <v>52</v>
      </c>
      <c r="G14" s="6" t="s">
        <v>104</v>
      </c>
      <c r="H14" s="6" t="s">
        <v>105</v>
      </c>
      <c r="I14" s="8" t="n">
        <v>29.5939747500128</v>
      </c>
      <c r="J14" s="17" t="n">
        <v>163446</v>
      </c>
      <c r="K14" s="8" t="n">
        <v>49.7</v>
      </c>
      <c r="L14" s="18" t="n">
        <v>109.0175</v>
      </c>
      <c r="M14" s="6" t="s">
        <v>88</v>
      </c>
    </row>
    <row r="15" customFormat="false" ht="21.75" hidden="false" customHeight="true" outlineLevel="0" collapsed="false">
      <c r="A15" s="9" t="s">
        <v>57</v>
      </c>
      <c r="B15" s="9" t="s">
        <v>58</v>
      </c>
      <c r="C15" s="21" t="s">
        <v>29</v>
      </c>
      <c r="D15" s="9" t="s">
        <v>24</v>
      </c>
      <c r="E15" s="9" t="s">
        <v>59</v>
      </c>
      <c r="F15" s="9" t="s">
        <v>60</v>
      </c>
      <c r="G15" s="9" t="s">
        <v>106</v>
      </c>
      <c r="H15" s="9" t="s">
        <v>107</v>
      </c>
      <c r="I15" s="10" t="n">
        <v>25.642976773994</v>
      </c>
      <c r="J15" s="19" t="n">
        <v>99374</v>
      </c>
      <c r="K15" s="10" t="n">
        <v>53.775</v>
      </c>
      <c r="L15" s="20" t="n">
        <v>113.37</v>
      </c>
      <c r="M15" s="9" t="s">
        <v>88</v>
      </c>
    </row>
    <row r="16" customFormat="false" ht="21.75" hidden="false" customHeight="true" outlineLevel="0" collapsed="false">
      <c r="A16" s="6" t="s">
        <v>61</v>
      </c>
      <c r="B16" s="6" t="s">
        <v>62</v>
      </c>
      <c r="C16" s="22" t="s">
        <v>37</v>
      </c>
      <c r="D16" s="6" t="s">
        <v>33</v>
      </c>
      <c r="E16" s="6" t="s">
        <v>59</v>
      </c>
      <c r="F16" s="6" t="s">
        <v>63</v>
      </c>
      <c r="G16" s="6" t="s">
        <v>108</v>
      </c>
      <c r="H16" s="6" t="s">
        <v>109</v>
      </c>
      <c r="I16" s="8" t="n">
        <v>47.1868915759855</v>
      </c>
      <c r="J16" s="17" t="n">
        <v>232349</v>
      </c>
      <c r="K16" s="8" t="n">
        <v>53.425</v>
      </c>
      <c r="L16" s="18" t="n">
        <v>132.5525</v>
      </c>
      <c r="M16" s="6" t="s">
        <v>93</v>
      </c>
    </row>
    <row r="17" customFormat="false" ht="21.75" hidden="false" customHeight="true" outlineLevel="0" collapsed="false">
      <c r="A17" s="9" t="s">
        <v>64</v>
      </c>
      <c r="B17" s="9" t="s">
        <v>65</v>
      </c>
      <c r="C17" s="21" t="s">
        <v>29</v>
      </c>
      <c r="D17" s="13" t="s">
        <v>59</v>
      </c>
      <c r="E17" s="13" t="s">
        <v>44</v>
      </c>
      <c r="F17" s="13" t="s">
        <v>66</v>
      </c>
      <c r="G17" s="9" t="s">
        <v>110</v>
      </c>
      <c r="H17" s="9" t="s">
        <v>111</v>
      </c>
      <c r="I17" s="10" t="n">
        <v>24.7777886876142</v>
      </c>
      <c r="J17" s="19" t="n">
        <v>43270</v>
      </c>
      <c r="K17" s="10" t="n">
        <v>54.9333333333333</v>
      </c>
      <c r="L17" s="20" t="n">
        <v>166.95</v>
      </c>
      <c r="M17" s="9" t="s">
        <v>88</v>
      </c>
    </row>
    <row r="18" customFormat="false" ht="21.75" hidden="false" customHeight="true" outlineLevel="0" collapsed="false">
      <c r="A18" s="6" t="s">
        <v>67</v>
      </c>
      <c r="B18" s="6" t="s">
        <v>68</v>
      </c>
      <c r="C18" s="22" t="s">
        <v>37</v>
      </c>
      <c r="D18" s="13" t="s">
        <v>59</v>
      </c>
      <c r="E18" s="13" t="s">
        <v>33</v>
      </c>
      <c r="F18" s="13" t="s">
        <v>69</v>
      </c>
      <c r="G18" s="6" t="s">
        <v>112</v>
      </c>
      <c r="H18" s="6" t="s">
        <v>113</v>
      </c>
      <c r="I18" s="8" t="n">
        <v>41.6788955370365</v>
      </c>
      <c r="J18" s="17" t="n">
        <v>100571</v>
      </c>
      <c r="K18" s="8" t="n">
        <v>55.775</v>
      </c>
      <c r="L18" s="18" t="n">
        <v>197.9675</v>
      </c>
      <c r="M18" s="6" t="s">
        <v>93</v>
      </c>
    </row>
  </sheetData>
  <mergeCells count="1">
    <mergeCell ref="A1:M1"/>
  </mergeCells>
  <conditionalFormatting sqref="I4:I18">
    <cfRule type="colorScale" priority="2">
      <colorScale>
        <cfvo type="min" val="0"/>
        <cfvo type="percentile" val="50"/>
        <cfvo type="max" val="0"/>
        <color rgb="FFF6D8D8"/>
        <color rgb="FFFFF1B8"/>
        <color rgb="FFDCECC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4" activeCellId="0" sqref="T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18" min="3" style="1" width="11"/>
    <col collapsed="false" customWidth="true" hidden="false" outlineLevel="0" max="19" min="19" style="1" width="30.44"/>
  </cols>
  <sheetData>
    <row r="1" customFormat="false" ht="27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3"/>
      <c r="R1" s="24"/>
      <c r="S1" s="24"/>
    </row>
    <row r="2" customFormat="false" ht="18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customFormat="false" ht="24" hidden="false" customHeight="true" outlineLevel="0" collapsed="false">
      <c r="A3" s="5" t="s">
        <v>2</v>
      </c>
      <c r="B3" s="5" t="s">
        <v>3</v>
      </c>
      <c r="C3" s="5" t="s">
        <v>115</v>
      </c>
      <c r="D3" s="5" t="s">
        <v>116</v>
      </c>
      <c r="E3" s="5" t="s">
        <v>117</v>
      </c>
      <c r="F3" s="5" t="s">
        <v>118</v>
      </c>
      <c r="G3" s="5" t="s">
        <v>119</v>
      </c>
      <c r="H3" s="5" t="s">
        <v>120</v>
      </c>
      <c r="I3" s="5" t="s">
        <v>121</v>
      </c>
      <c r="J3" s="5" t="s">
        <v>122</v>
      </c>
      <c r="K3" s="5" t="s">
        <v>123</v>
      </c>
      <c r="L3" s="5" t="s">
        <v>124</v>
      </c>
      <c r="M3" s="5" t="s">
        <v>125</v>
      </c>
      <c r="N3" s="5" t="s">
        <v>126</v>
      </c>
      <c r="O3" s="5" t="s">
        <v>127</v>
      </c>
      <c r="P3" s="5" t="s">
        <v>72</v>
      </c>
      <c r="Q3" s="5"/>
      <c r="R3" s="5" t="s">
        <v>115</v>
      </c>
      <c r="S3" s="5" t="s">
        <v>128</v>
      </c>
    </row>
    <row r="4" customFormat="false" ht="42" hidden="false" customHeight="true" outlineLevel="0" collapsed="false">
      <c r="A4" s="6" t="s">
        <v>16</v>
      </c>
      <c r="B4" s="6" t="s">
        <v>17</v>
      </c>
      <c r="C4" s="8" t="n">
        <v>22.2838645099302</v>
      </c>
      <c r="D4" s="8" t="n">
        <v>33.5933833588848</v>
      </c>
      <c r="E4" s="8" t="n">
        <v>32.395895780642</v>
      </c>
      <c r="F4" s="8" t="n">
        <v>25.9279849530427</v>
      </c>
      <c r="G4" s="8" t="n">
        <v>28.5537713735683</v>
      </c>
      <c r="H4" s="8" t="n">
        <v>17.3636020711761</v>
      </c>
      <c r="I4" s="8" t="n">
        <v>50.2271804933984</v>
      </c>
      <c r="J4" s="8" t="n">
        <v>51.9407801793341</v>
      </c>
      <c r="K4" s="8" t="n">
        <v>23.8965156765737</v>
      </c>
      <c r="L4" s="8" t="n">
        <v>5.97255583273249</v>
      </c>
      <c r="M4" s="8" t="n">
        <f aca="false">AVERAGE(C4:L4)</f>
        <v>29.2155534229283</v>
      </c>
      <c r="N4" s="8" t="n">
        <f aca="false">AVERAGE(C4:D4)</f>
        <v>27.9386239344075</v>
      </c>
      <c r="O4" s="8" t="n">
        <f aca="false">AVERAGE(E4:L4)</f>
        <v>29.5347857950585</v>
      </c>
      <c r="P4" s="8" t="s">
        <v>18</v>
      </c>
      <c r="Q4" s="8"/>
      <c r="R4" s="8" t="s">
        <v>116</v>
      </c>
      <c r="S4" s="8" t="s">
        <v>129</v>
      </c>
    </row>
    <row r="5" customFormat="false" ht="33" hidden="false" customHeight="true" outlineLevel="0" collapsed="false">
      <c r="A5" s="9" t="s">
        <v>22</v>
      </c>
      <c r="B5" s="9" t="s">
        <v>23</v>
      </c>
      <c r="C5" s="10" t="n">
        <v>15.1456451211329</v>
      </c>
      <c r="D5" s="10" t="n">
        <v>27.6917431235585</v>
      </c>
      <c r="E5" s="10" t="n">
        <v>30.1348380963628</v>
      </c>
      <c r="F5" s="10" t="n">
        <v>29.3786227710571</v>
      </c>
      <c r="G5" s="10" t="n">
        <v>24.0081762016885</v>
      </c>
      <c r="H5" s="10" t="n">
        <v>21.2276663309136</v>
      </c>
      <c r="I5" s="10" t="n">
        <v>49.056920474223</v>
      </c>
      <c r="J5" s="10" t="n">
        <v>39.8376338222129</v>
      </c>
      <c r="K5" s="10" t="n">
        <v>12.1548154626413</v>
      </c>
      <c r="L5" s="10" t="n">
        <v>17.6196900742676</v>
      </c>
      <c r="M5" s="10" t="n">
        <f aca="false">AVERAGE(C5:L5)</f>
        <v>26.6255751478058</v>
      </c>
      <c r="N5" s="10" t="n">
        <f aca="false">AVERAGE(C5:D5)</f>
        <v>21.4186941223457</v>
      </c>
      <c r="O5" s="10" t="n">
        <f aca="false">AVERAGE(E5:L5)</f>
        <v>27.9272954041709</v>
      </c>
      <c r="P5" s="10" t="s">
        <v>18</v>
      </c>
      <c r="Q5" s="10"/>
      <c r="R5" s="10" t="s">
        <v>117</v>
      </c>
      <c r="S5" s="10" t="s">
        <v>130</v>
      </c>
    </row>
    <row r="6" customFormat="false" ht="30.75" hidden="false" customHeight="true" outlineLevel="0" collapsed="false">
      <c r="A6" s="6" t="s">
        <v>27</v>
      </c>
      <c r="B6" s="6" t="s">
        <v>28</v>
      </c>
      <c r="C6" s="8" t="n">
        <v>23.7859700236848</v>
      </c>
      <c r="D6" s="8" t="n">
        <v>41.4158024488662</v>
      </c>
      <c r="E6" s="8" t="n">
        <v>28.045292745624</v>
      </c>
      <c r="F6" s="8" t="n">
        <v>28.1042430880801</v>
      </c>
      <c r="G6" s="8" t="n">
        <v>33.1209955976396</v>
      </c>
      <c r="H6" s="8" t="n">
        <v>31.3266209362814</v>
      </c>
      <c r="I6" s="8" t="n">
        <v>50.1477949314988</v>
      </c>
      <c r="J6" s="8" t="n">
        <v>66.2819224223754</v>
      </c>
      <c r="K6" s="8" t="n">
        <v>37.5508343843489</v>
      </c>
      <c r="L6" s="8" t="n">
        <v>21.8549789976902</v>
      </c>
      <c r="M6" s="8" t="n">
        <f aca="false">AVERAGE(C6:L6)</f>
        <v>36.1634455576089</v>
      </c>
      <c r="N6" s="8" t="n">
        <f aca="false">AVERAGE(C6:D6)</f>
        <v>32.6008862362755</v>
      </c>
      <c r="O6" s="8" t="n">
        <f aca="false">AVERAGE(E6:L6)</f>
        <v>37.0540853879423</v>
      </c>
      <c r="P6" s="8" t="s">
        <v>29</v>
      </c>
      <c r="Q6" s="8"/>
      <c r="R6" s="8" t="s">
        <v>118</v>
      </c>
      <c r="S6" s="8" t="s">
        <v>131</v>
      </c>
    </row>
    <row r="7" customFormat="false" ht="43.5" hidden="false" customHeight="true" outlineLevel="0" collapsed="false">
      <c r="A7" s="9" t="s">
        <v>31</v>
      </c>
      <c r="B7" s="9" t="s">
        <v>32</v>
      </c>
      <c r="C7" s="10" t="n">
        <v>9.54791852386396</v>
      </c>
      <c r="D7" s="10" t="n">
        <v>34.4112456162624</v>
      </c>
      <c r="E7" s="10" t="n">
        <v>22.0184335376631</v>
      </c>
      <c r="F7" s="10" t="n">
        <v>19.567643990289</v>
      </c>
      <c r="G7" s="10" t="n">
        <v>14.6933207596845</v>
      </c>
      <c r="H7" s="10" t="n">
        <v>23.1345487840252</v>
      </c>
      <c r="I7" s="10" t="n">
        <v>53.1919734435015</v>
      </c>
      <c r="J7" s="10" t="n">
        <v>46.4388932594288</v>
      </c>
      <c r="K7" s="10" t="n">
        <v>21.5442299290646</v>
      </c>
      <c r="L7" s="10" t="n">
        <v>18.2846541610517</v>
      </c>
      <c r="M7" s="10" t="n">
        <f aca="false">AVERAGE(C7:L7)</f>
        <v>26.2832862004835</v>
      </c>
      <c r="N7" s="10" t="n">
        <f aca="false">AVERAGE(C7:D7)</f>
        <v>21.9795820700632</v>
      </c>
      <c r="O7" s="10" t="n">
        <f aca="false">AVERAGE(E7:L7)</f>
        <v>27.3592122330886</v>
      </c>
      <c r="P7" s="10" t="s">
        <v>29</v>
      </c>
      <c r="Q7" s="10"/>
      <c r="R7" s="10" t="s">
        <v>119</v>
      </c>
      <c r="S7" s="10" t="s">
        <v>132</v>
      </c>
    </row>
    <row r="8" customFormat="false" ht="21.75" hidden="false" customHeight="true" outlineLevel="0" collapsed="false">
      <c r="A8" s="6" t="s">
        <v>35</v>
      </c>
      <c r="B8" s="6" t="s">
        <v>36</v>
      </c>
      <c r="C8" s="8" t="n">
        <v>19.6226798074875</v>
      </c>
      <c r="D8" s="8" t="n">
        <v>40.0734636312028</v>
      </c>
      <c r="E8" s="8" t="n">
        <v>25.4010770373209</v>
      </c>
      <c r="F8" s="8" t="n">
        <v>42.1408112218431</v>
      </c>
      <c r="G8" s="8" t="n">
        <v>18.002593059829</v>
      </c>
      <c r="H8" s="8" t="n">
        <v>15.4718142701239</v>
      </c>
      <c r="I8" s="8" t="n">
        <v>59.2091095511733</v>
      </c>
      <c r="J8" s="8" t="n">
        <v>46.3348261919258</v>
      </c>
      <c r="K8" s="8" t="n">
        <v>26.4476326239534</v>
      </c>
      <c r="L8" s="8" t="n">
        <v>51.1575123849573</v>
      </c>
      <c r="M8" s="8" t="n">
        <f aca="false">AVERAGE(C8:L8)</f>
        <v>34.3861519779817</v>
      </c>
      <c r="N8" s="8" t="n">
        <f aca="false">AVERAGE(C8:D8)</f>
        <v>29.8480717193452</v>
      </c>
      <c r="O8" s="8" t="n">
        <f aca="false">AVERAGE(E8:L8)</f>
        <v>35.5206720426408</v>
      </c>
      <c r="P8" s="8" t="s">
        <v>37</v>
      </c>
      <c r="Q8" s="8"/>
      <c r="R8" s="8" t="s">
        <v>120</v>
      </c>
      <c r="S8" s="8" t="s">
        <v>133</v>
      </c>
    </row>
    <row r="9" customFormat="false" ht="21.75" hidden="false" customHeight="true" outlineLevel="0" collapsed="false">
      <c r="A9" s="9" t="s">
        <v>39</v>
      </c>
      <c r="B9" s="9" t="s">
        <v>40</v>
      </c>
      <c r="C9" s="10" t="n">
        <v>49.1526723885596</v>
      </c>
      <c r="D9" s="10" t="n">
        <v>42.8626622044213</v>
      </c>
      <c r="E9" s="10" t="n">
        <v>35.1320939795564</v>
      </c>
      <c r="F9" s="10" t="n">
        <v>44.6981278442165</v>
      </c>
      <c r="G9" s="10" t="n">
        <v>34.9219365583801</v>
      </c>
      <c r="H9" s="10" t="n">
        <v>43.0751458467898</v>
      </c>
      <c r="I9" s="10" t="n">
        <v>59.7595282395484</v>
      </c>
      <c r="J9" s="10" t="n">
        <v>52.72276571304</v>
      </c>
      <c r="K9" s="10" t="n">
        <v>29.6962023503877</v>
      </c>
      <c r="L9" s="10" t="n">
        <v>32.9517290762787</v>
      </c>
      <c r="M9" s="10" t="n">
        <f aca="false">AVERAGE(C9:L9)</f>
        <v>42.4972864201178</v>
      </c>
      <c r="N9" s="10" t="n">
        <f aca="false">AVERAGE(C9:D9)</f>
        <v>46.0076672964905</v>
      </c>
      <c r="O9" s="10" t="n">
        <f aca="false">AVERAGE(E9:L9)</f>
        <v>41.6196912010247</v>
      </c>
      <c r="P9" s="10" t="s">
        <v>37</v>
      </c>
      <c r="Q9" s="10"/>
      <c r="R9" s="10" t="s">
        <v>121</v>
      </c>
      <c r="S9" s="10" t="s">
        <v>134</v>
      </c>
    </row>
    <row r="10" customFormat="false" ht="19.5" hidden="false" customHeight="true" outlineLevel="0" collapsed="false">
      <c r="A10" s="6" t="s">
        <v>42</v>
      </c>
      <c r="B10" s="6" t="s">
        <v>43</v>
      </c>
      <c r="C10" s="8" t="n">
        <v>52.0474296891536</v>
      </c>
      <c r="D10" s="8" t="n">
        <v>16.9419431145387</v>
      </c>
      <c r="E10" s="8" t="n">
        <v>61.7071920097236</v>
      </c>
      <c r="F10" s="8" t="n">
        <v>61.7018636248308</v>
      </c>
      <c r="G10" s="8" t="n">
        <v>57.9085053573364</v>
      </c>
      <c r="H10" s="8" t="n">
        <v>54.8792124947295</v>
      </c>
      <c r="I10" s="8" t="n">
        <v>56.901021497066</v>
      </c>
      <c r="J10" s="8" t="n">
        <v>54.099650803535</v>
      </c>
      <c r="K10" s="8" t="n">
        <v>33.3333333333333</v>
      </c>
      <c r="L10" s="8" t="n">
        <v>60.7539150988958</v>
      </c>
      <c r="M10" s="8" t="n">
        <f aca="false">AVERAGE(C10:L10)</f>
        <v>51.0274067023143</v>
      </c>
      <c r="N10" s="8" t="n">
        <f aca="false">AVERAGE(C10:D10)</f>
        <v>34.4946864018462</v>
      </c>
      <c r="O10" s="8" t="n">
        <f aca="false">AVERAGE(E10:L10)</f>
        <v>55.1605867774313</v>
      </c>
      <c r="P10" s="8" t="s">
        <v>37</v>
      </c>
      <c r="Q10" s="8"/>
      <c r="R10" s="8" t="s">
        <v>122</v>
      </c>
      <c r="S10" s="8" t="s">
        <v>135</v>
      </c>
    </row>
    <row r="11" customFormat="false" ht="30" hidden="false" customHeight="true" outlineLevel="0" collapsed="false">
      <c r="A11" s="9" t="s">
        <v>46</v>
      </c>
      <c r="B11" s="9" t="s">
        <v>47</v>
      </c>
      <c r="C11" s="10" t="n">
        <v>31.8706070937653</v>
      </c>
      <c r="D11" s="10" t="n">
        <v>27.6040442680647</v>
      </c>
      <c r="E11" s="10" t="n">
        <v>20.7095335158939</v>
      </c>
      <c r="F11" s="10" t="n">
        <v>12.3405602334957</v>
      </c>
      <c r="G11" s="10" t="n">
        <v>7.69774487042486</v>
      </c>
      <c r="H11" s="10" t="n">
        <v>24.8406764691872</v>
      </c>
      <c r="I11" s="10" t="n">
        <v>63.9603112545284</v>
      </c>
      <c r="J11" s="10" t="n">
        <v>55.4012541548225</v>
      </c>
      <c r="K11" s="10" t="n">
        <v>15.7795731089375</v>
      </c>
      <c r="L11" s="10" t="n">
        <v>16.6995448946626</v>
      </c>
      <c r="M11" s="10" t="n">
        <f aca="false">AVERAGE(C11:L11)</f>
        <v>27.6903849863783</v>
      </c>
      <c r="N11" s="10" t="n">
        <f aca="false">AVERAGE(C11:D11)</f>
        <v>29.737325680915</v>
      </c>
      <c r="O11" s="10" t="n">
        <f aca="false">AVERAGE(E11:L11)</f>
        <v>27.1786498127441</v>
      </c>
      <c r="P11" s="10" t="s">
        <v>29</v>
      </c>
      <c r="Q11" s="10"/>
      <c r="R11" s="10" t="s">
        <v>123</v>
      </c>
      <c r="S11" s="10" t="s">
        <v>136</v>
      </c>
    </row>
    <row r="12" customFormat="false" ht="29.25" hidden="false" customHeight="true" outlineLevel="0" collapsed="false">
      <c r="A12" s="6" t="s">
        <v>50</v>
      </c>
      <c r="B12" s="6" t="s">
        <v>51</v>
      </c>
      <c r="C12" s="8" t="n">
        <v>20.2171448023297</v>
      </c>
      <c r="D12" s="8" t="n">
        <v>37.2295139455905</v>
      </c>
      <c r="E12" s="8" t="n">
        <v>15.3253475174239</v>
      </c>
      <c r="F12" s="8" t="n">
        <v>12.5652006572789</v>
      </c>
      <c r="G12" s="8" t="n">
        <v>16.9971882261062</v>
      </c>
      <c r="H12" s="8" t="n">
        <v>18.1865111747255</v>
      </c>
      <c r="I12" s="8" t="n">
        <v>60.9007030669231</v>
      </c>
      <c r="J12" s="8" t="n">
        <v>49.5208695774351</v>
      </c>
      <c r="K12" s="8" t="n">
        <v>15.6024368922111</v>
      </c>
      <c r="L12" s="8" t="n">
        <v>34.6271244269446</v>
      </c>
      <c r="M12" s="8" t="n">
        <f aca="false">AVERAGE(C12:L12)</f>
        <v>28.1172040286969</v>
      </c>
      <c r="N12" s="8" t="n">
        <f aca="false">AVERAGE(C12:D12)</f>
        <v>28.7233293739601</v>
      </c>
      <c r="O12" s="8" t="n">
        <f aca="false">AVERAGE(E12:L12)</f>
        <v>27.965672692381</v>
      </c>
      <c r="P12" s="8" t="s">
        <v>29</v>
      </c>
      <c r="Q12" s="8"/>
      <c r="R12" s="8" t="s">
        <v>124</v>
      </c>
      <c r="S12" s="8" t="s">
        <v>137</v>
      </c>
    </row>
    <row r="13" customFormat="false" ht="30.75" hidden="false" customHeight="true" outlineLevel="0" collapsed="false">
      <c r="A13" s="9" t="s">
        <v>53</v>
      </c>
      <c r="B13" s="9" t="s">
        <v>54</v>
      </c>
      <c r="C13" s="10" t="n">
        <v>21.0606240675508</v>
      </c>
      <c r="D13" s="10" t="n">
        <v>32.0589176459856</v>
      </c>
      <c r="E13" s="10" t="n">
        <v>25.8271068413067</v>
      </c>
      <c r="F13" s="10" t="n">
        <v>16.6472606417593</v>
      </c>
      <c r="G13" s="10" t="n">
        <v>27.9461255855167</v>
      </c>
      <c r="H13" s="10" t="n">
        <v>19.6962539462424</v>
      </c>
      <c r="I13" s="10" t="n">
        <v>66.4546169920298</v>
      </c>
      <c r="J13" s="10" t="n">
        <v>46.9493472986046</v>
      </c>
      <c r="K13" s="10" t="n">
        <v>31.5528449730233</v>
      </c>
      <c r="L13" s="10" t="n">
        <v>80.2686331669514</v>
      </c>
      <c r="M13" s="10" t="n">
        <f aca="false">AVERAGE(C13:L13)</f>
        <v>36.8461731158971</v>
      </c>
      <c r="N13" s="10" t="n">
        <f aca="false">AVERAGE(C13:D13)</f>
        <v>26.5597708567682</v>
      </c>
      <c r="O13" s="10" t="n">
        <f aca="false">AVERAGE(E13:L13)</f>
        <v>39.4177736806793</v>
      </c>
      <c r="P13" s="10" t="s">
        <v>29</v>
      </c>
      <c r="Q13" s="10"/>
      <c r="R13" s="10"/>
      <c r="S13" s="10"/>
    </row>
    <row r="14" customFormat="false" ht="30" hidden="false" customHeight="true" outlineLevel="0" collapsed="false">
      <c r="A14" s="6" t="s">
        <v>55</v>
      </c>
      <c r="B14" s="6" t="s">
        <v>56</v>
      </c>
      <c r="C14" s="8" t="n">
        <v>29.5902104358319</v>
      </c>
      <c r="D14" s="8" t="n">
        <v>55.7556476236782</v>
      </c>
      <c r="E14" s="8" t="n">
        <v>20.5148745624344</v>
      </c>
      <c r="F14" s="8" t="n">
        <v>28.4794067728139</v>
      </c>
      <c r="G14" s="8" t="n">
        <v>27.6854489354873</v>
      </c>
      <c r="H14" s="8" t="n">
        <v>31.0246154885022</v>
      </c>
      <c r="I14" s="8" t="n">
        <v>59.9185473093684</v>
      </c>
      <c r="J14" s="8" t="n">
        <v>35.097898262586</v>
      </c>
      <c r="K14" s="8" t="n">
        <v>13.081496160096</v>
      </c>
      <c r="L14" s="8" t="n">
        <v>34.7791678200677</v>
      </c>
      <c r="M14" s="8" t="n">
        <f aca="false">AVERAGE(C14:L14)</f>
        <v>33.5927313370866</v>
      </c>
      <c r="N14" s="8" t="n">
        <f aca="false">AVERAGE(C14:D14)</f>
        <v>42.6729290297551</v>
      </c>
      <c r="O14" s="8" t="n">
        <f aca="false">AVERAGE(E14:L14)</f>
        <v>31.3226819139195</v>
      </c>
      <c r="P14" s="8" t="s">
        <v>29</v>
      </c>
      <c r="Q14" s="8"/>
      <c r="R14" s="8"/>
      <c r="S14" s="8"/>
    </row>
    <row r="15" customFormat="false" ht="32.25" hidden="false" customHeight="true" outlineLevel="0" collapsed="false">
      <c r="A15" s="9" t="s">
        <v>57</v>
      </c>
      <c r="B15" s="9" t="s">
        <v>58</v>
      </c>
      <c r="C15" s="10" t="n">
        <v>10.029856641647</v>
      </c>
      <c r="D15" s="10" t="n">
        <v>37.0954093253054</v>
      </c>
      <c r="E15" s="10" t="n">
        <v>13.4508824458554</v>
      </c>
      <c r="F15" s="10" t="n">
        <v>18.8008457606844</v>
      </c>
      <c r="G15" s="10" t="n">
        <v>12.0625138233409</v>
      </c>
      <c r="H15" s="10" t="n">
        <v>24.2011860821136</v>
      </c>
      <c r="I15" s="10" t="n">
        <v>65.0540505223859</v>
      </c>
      <c r="J15" s="10" t="n">
        <v>49.3233116527002</v>
      </c>
      <c r="K15" s="10" t="n">
        <v>21.8446521780057</v>
      </c>
      <c r="L15" s="10" t="n">
        <v>16.567345133562</v>
      </c>
      <c r="M15" s="10" t="n">
        <f aca="false">AVERAGE(C15:L15)</f>
        <v>26.8430053565601</v>
      </c>
      <c r="N15" s="10" t="n">
        <f aca="false">AVERAGE(C15:D15)</f>
        <v>23.5626329834762</v>
      </c>
      <c r="O15" s="10" t="n">
        <f aca="false">AVERAGE(E15:L15)</f>
        <v>27.663098449831</v>
      </c>
      <c r="P15" s="10" t="s">
        <v>29</v>
      </c>
      <c r="Q15" s="10"/>
      <c r="R15" s="10"/>
      <c r="S15" s="10"/>
    </row>
    <row r="16" customFormat="false" ht="21.75" hidden="false" customHeight="true" outlineLevel="0" collapsed="false">
      <c r="A16" s="6" t="s">
        <v>61</v>
      </c>
      <c r="B16" s="6" t="s">
        <v>62</v>
      </c>
      <c r="C16" s="8" t="n">
        <v>19.9188799188002</v>
      </c>
      <c r="D16" s="8" t="n">
        <v>57.6200969793383</v>
      </c>
      <c r="E16" s="8" t="n">
        <v>27.4655906388826</v>
      </c>
      <c r="F16" s="8" t="n">
        <v>34.7800823486366</v>
      </c>
      <c r="G16" s="8" t="n">
        <v>53.1500920134168</v>
      </c>
      <c r="H16" s="8" t="n">
        <v>28.1046573872107</v>
      </c>
      <c r="I16" s="8" t="n">
        <v>64.6903236364508</v>
      </c>
      <c r="J16" s="8" t="n">
        <v>70.1010330003574</v>
      </c>
      <c r="K16" s="8" t="n">
        <v>31.3922220392859</v>
      </c>
      <c r="L16" s="8" t="n">
        <v>55.7239772955724</v>
      </c>
      <c r="M16" s="8" t="n">
        <f aca="false">AVERAGE(C16:L16)</f>
        <v>44.2946955257952</v>
      </c>
      <c r="N16" s="8" t="n">
        <f aca="false">AVERAGE(C16:D16)</f>
        <v>38.7694884490693</v>
      </c>
      <c r="O16" s="8" t="n">
        <f aca="false">AVERAGE(E16:L16)</f>
        <v>45.6759972949767</v>
      </c>
      <c r="P16" s="8" t="s">
        <v>37</v>
      </c>
      <c r="Q16" s="8"/>
      <c r="R16" s="8"/>
      <c r="S16" s="8"/>
    </row>
    <row r="17" customFormat="false" ht="32.25" hidden="false" customHeight="true" outlineLevel="0" collapsed="false">
      <c r="A17" s="9" t="s">
        <v>64</v>
      </c>
      <c r="B17" s="9" t="s">
        <v>65</v>
      </c>
      <c r="C17" s="10" t="n">
        <v>6.31007831170034</v>
      </c>
      <c r="D17" s="10" t="n">
        <v>57.5995320716105</v>
      </c>
      <c r="E17" s="10" t="n">
        <v>35.1269144256661</v>
      </c>
      <c r="F17" s="10" t="n">
        <v>13.7265490724733</v>
      </c>
      <c r="G17" s="10" t="n">
        <v>16.7048651165985</v>
      </c>
      <c r="H17" s="10" t="n">
        <v>35.4778780120221</v>
      </c>
      <c r="I17" s="10" t="n">
        <v>49.1399911013435</v>
      </c>
      <c r="J17" s="10" t="n">
        <v>64.8817698799245</v>
      </c>
      <c r="K17" s="10" t="n">
        <v>38.4789711593767</v>
      </c>
      <c r="L17" s="10" t="n">
        <v>22.4630470612447</v>
      </c>
      <c r="M17" s="10" t="n">
        <f aca="false">AVERAGE(C17:L17)</f>
        <v>33.990959621196</v>
      </c>
      <c r="N17" s="10" t="n">
        <f aca="false">AVERAGE(C17:D17)</f>
        <v>31.9548051916554</v>
      </c>
      <c r="O17" s="10" t="n">
        <f aca="false">AVERAGE(E17:L17)</f>
        <v>34.4999982285812</v>
      </c>
      <c r="P17" s="10" t="s">
        <v>29</v>
      </c>
      <c r="Q17" s="10"/>
      <c r="R17" s="10"/>
      <c r="S17" s="10"/>
    </row>
    <row r="18" customFormat="false" ht="21.75" hidden="false" customHeight="true" outlineLevel="0" collapsed="false">
      <c r="A18" s="6" t="s">
        <v>67</v>
      </c>
      <c r="B18" s="6" t="s">
        <v>68</v>
      </c>
      <c r="C18" s="8" t="n">
        <v>13.3997896212569</v>
      </c>
      <c r="D18" s="8" t="n">
        <v>50.9385711487091</v>
      </c>
      <c r="E18" s="8" t="n">
        <v>44.8807074917904</v>
      </c>
      <c r="F18" s="8" t="n">
        <v>33.2844459079928</v>
      </c>
      <c r="G18" s="8" t="n">
        <v>32.6498983349441</v>
      </c>
      <c r="H18" s="8" t="n">
        <v>43.2399193570176</v>
      </c>
      <c r="I18" s="8" t="n">
        <v>65.9229529220203</v>
      </c>
      <c r="J18" s="8" t="n">
        <v>52.9481051574986</v>
      </c>
      <c r="K18" s="8" t="n">
        <v>47.6683902485125</v>
      </c>
      <c r="L18" s="8" t="n">
        <v>9.97710082234706</v>
      </c>
      <c r="M18" s="8" t="n">
        <f aca="false">AVERAGE(C18:L18)</f>
        <v>39.4909881012089</v>
      </c>
      <c r="N18" s="8" t="n">
        <f aca="false">AVERAGE(C18:D18)</f>
        <v>32.169180384983</v>
      </c>
      <c r="O18" s="8" t="n">
        <f aca="false">AVERAGE(E18:L18)</f>
        <v>41.3214400302654</v>
      </c>
      <c r="P18" s="8" t="s">
        <v>37</v>
      </c>
      <c r="Q18" s="8"/>
      <c r="R18" s="8"/>
      <c r="S18" s="8"/>
    </row>
  </sheetData>
  <mergeCells count="1">
    <mergeCell ref="A1:P1"/>
  </mergeCells>
  <conditionalFormatting sqref="C4:L18">
    <cfRule type="colorScale" priority="2">
      <colorScale>
        <cfvo type="min" val="0"/>
        <cfvo type="percentile" val="50"/>
        <cfvo type="max" val="0"/>
        <color rgb="FFFCE8E6"/>
        <color rgb="FFFFF2CC"/>
        <color rgb="FFE2F0D9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1" min="10" style="1" width="20"/>
    <col collapsed="false" customWidth="true" hidden="false" outlineLevel="0" max="12" min="12" style="1" width="12"/>
    <col collapsed="false" customWidth="true" hidden="false" outlineLevel="0" max="13" min="13" style="1" width="70"/>
    <col collapsed="false" customWidth="true" hidden="false" outlineLevel="0" max="14" min="14" style="1" width="44"/>
    <col collapsed="false" customWidth="true" hidden="false" outlineLevel="0" max="15" min="15" style="1" width="12"/>
  </cols>
  <sheetData>
    <row r="1" customFormat="false" ht="27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25" t="s">
        <v>139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customFormat="false" ht="71.25" hidden="false" customHeight="true" outlineLevel="0" collapsed="false">
      <c r="A3" s="5" t="s">
        <v>2</v>
      </c>
      <c r="B3" s="5" t="s">
        <v>3</v>
      </c>
      <c r="C3" s="5" t="s">
        <v>59</v>
      </c>
      <c r="D3" s="5" t="s">
        <v>20</v>
      </c>
      <c r="E3" s="5" t="s">
        <v>48</v>
      </c>
      <c r="F3" s="5" t="s">
        <v>24</v>
      </c>
      <c r="G3" s="5" t="s">
        <v>25</v>
      </c>
      <c r="H3" s="5" t="s">
        <v>44</v>
      </c>
      <c r="I3" s="5" t="s">
        <v>33</v>
      </c>
      <c r="J3" s="5" t="s">
        <v>19</v>
      </c>
    </row>
    <row r="4" customFormat="false" ht="21.75" hidden="false" customHeight="true" outlineLevel="0" collapsed="false">
      <c r="A4" s="26" t="s">
        <v>16</v>
      </c>
      <c r="B4" s="26" t="s">
        <v>17</v>
      </c>
      <c r="C4" s="27" t="n">
        <v>23</v>
      </c>
      <c r="D4" s="27" t="n">
        <v>17.6</v>
      </c>
      <c r="E4" s="27" t="n">
        <v>21.3</v>
      </c>
      <c r="F4" s="27" t="n">
        <v>24.6</v>
      </c>
      <c r="G4" s="27" t="n">
        <v>5.1</v>
      </c>
      <c r="H4" s="27" t="n">
        <v>15.4</v>
      </c>
      <c r="I4" s="27" t="n">
        <v>12</v>
      </c>
      <c r="J4" s="27" t="n">
        <v>50.5</v>
      </c>
    </row>
    <row r="5" customFormat="false" ht="21.75" hidden="false" customHeight="true" outlineLevel="0" collapsed="false">
      <c r="A5" s="28" t="s">
        <v>22</v>
      </c>
      <c r="B5" s="28" t="s">
        <v>23</v>
      </c>
      <c r="C5" s="29" t="n">
        <v>4.9</v>
      </c>
      <c r="D5" s="29" t="n">
        <v>16.6</v>
      </c>
      <c r="E5" s="29" t="n">
        <v>17.9</v>
      </c>
      <c r="F5" s="29" t="n">
        <v>26.5</v>
      </c>
      <c r="G5" s="29" t="n">
        <v>23.7</v>
      </c>
      <c r="H5" s="29" t="n">
        <v>2.6</v>
      </c>
      <c r="I5" s="29" t="n">
        <v>12.8</v>
      </c>
      <c r="J5" s="29" t="n">
        <v>19.7</v>
      </c>
    </row>
    <row r="6" customFormat="false" ht="21.75" hidden="false" customHeight="true" outlineLevel="0" collapsed="false">
      <c r="A6" s="26" t="s">
        <v>27</v>
      </c>
      <c r="B6" s="26" t="s">
        <v>28</v>
      </c>
      <c r="C6" s="27" t="n">
        <v>24.4</v>
      </c>
      <c r="D6" s="27" t="n">
        <v>28.8</v>
      </c>
      <c r="E6" s="27" t="n">
        <v>28.2</v>
      </c>
      <c r="F6" s="27" t="n">
        <v>15.4</v>
      </c>
      <c r="G6" s="27" t="n">
        <v>56.6</v>
      </c>
      <c r="H6" s="27" t="n">
        <v>34.8</v>
      </c>
      <c r="I6" s="27" t="n">
        <v>24.7</v>
      </c>
      <c r="J6" s="27" t="n">
        <v>13.1</v>
      </c>
    </row>
    <row r="7" customFormat="false" ht="21.75" hidden="false" customHeight="true" outlineLevel="0" collapsed="false">
      <c r="A7" s="28" t="s">
        <v>31</v>
      </c>
      <c r="B7" s="28" t="s">
        <v>32</v>
      </c>
      <c r="C7" s="29" t="n">
        <v>14.3</v>
      </c>
      <c r="D7" s="29" t="n">
        <v>10.2</v>
      </c>
      <c r="E7" s="29" t="n">
        <v>22.7</v>
      </c>
      <c r="F7" s="29" t="n">
        <v>13.1</v>
      </c>
      <c r="G7" s="29" t="n">
        <v>45.8</v>
      </c>
      <c r="H7" s="29" t="n">
        <v>17.9</v>
      </c>
      <c r="I7" s="29" t="n">
        <v>22.6</v>
      </c>
      <c r="J7" s="29" t="n">
        <v>13.2</v>
      </c>
    </row>
    <row r="8" customFormat="false" ht="21.75" hidden="false" customHeight="true" outlineLevel="0" collapsed="false">
      <c r="A8" s="26" t="s">
        <v>35</v>
      </c>
      <c r="B8" s="26" t="s">
        <v>36</v>
      </c>
      <c r="C8" s="27" t="n">
        <v>9.9</v>
      </c>
      <c r="D8" s="27" t="n">
        <v>10.1</v>
      </c>
      <c r="E8" s="27" t="n">
        <v>36.9</v>
      </c>
      <c r="F8" s="27" t="n">
        <v>14</v>
      </c>
      <c r="G8" s="27" t="n">
        <v>37.5</v>
      </c>
      <c r="H8" s="27" t="n">
        <v>0</v>
      </c>
      <c r="I8" s="27" t="n">
        <v>51.7</v>
      </c>
      <c r="J8" s="27" t="n">
        <v>40.3</v>
      </c>
    </row>
    <row r="9" customFormat="false" ht="21.75" hidden="false" customHeight="true" outlineLevel="0" collapsed="false">
      <c r="A9" s="28" t="s">
        <v>39</v>
      </c>
      <c r="B9" s="28" t="s">
        <v>40</v>
      </c>
      <c r="C9" s="29" t="n">
        <v>32.7</v>
      </c>
      <c r="D9" s="29" t="n">
        <v>54.2</v>
      </c>
      <c r="E9" s="29" t="n">
        <v>77.1</v>
      </c>
      <c r="F9" s="29" t="n">
        <v>26.6</v>
      </c>
      <c r="G9" s="29" t="n">
        <v>21.6</v>
      </c>
      <c r="H9" s="29" t="n">
        <v>17.7</v>
      </c>
      <c r="I9" s="29" t="n">
        <v>73.3</v>
      </c>
      <c r="J9" s="29" t="n">
        <v>36.8</v>
      </c>
    </row>
    <row r="10" customFormat="false" ht="21.75" hidden="false" customHeight="true" outlineLevel="0" collapsed="false">
      <c r="A10" s="26" t="s">
        <v>42</v>
      </c>
      <c r="B10" s="26" t="s">
        <v>43</v>
      </c>
      <c r="C10" s="27" t="n">
        <v>8</v>
      </c>
      <c r="D10" s="27" t="n">
        <v>59.1</v>
      </c>
      <c r="E10" s="27" t="n">
        <v>14.7</v>
      </c>
      <c r="F10" s="27" t="n">
        <v>18.1</v>
      </c>
      <c r="G10" s="27" t="n">
        <v>14.3</v>
      </c>
      <c r="H10" s="27" t="n">
        <v>48.3</v>
      </c>
      <c r="I10" s="27" t="n">
        <v>0</v>
      </c>
      <c r="J10" s="27" t="n">
        <v>32.3</v>
      </c>
    </row>
    <row r="11" customFormat="false" ht="21.75" hidden="false" customHeight="true" outlineLevel="0" collapsed="false">
      <c r="A11" s="28" t="s">
        <v>46</v>
      </c>
      <c r="B11" s="28" t="s">
        <v>47</v>
      </c>
      <c r="C11" s="29" t="n">
        <v>14.2</v>
      </c>
      <c r="D11" s="29" t="n">
        <v>29.9</v>
      </c>
      <c r="E11" s="29" t="n">
        <v>52.9</v>
      </c>
      <c r="F11" s="29" t="n">
        <v>9</v>
      </c>
      <c r="G11" s="29" t="n">
        <v>23.6</v>
      </c>
      <c r="H11" s="29" t="n">
        <v>24.5</v>
      </c>
      <c r="I11" s="29" t="n">
        <v>6.6</v>
      </c>
      <c r="J11" s="29" t="n">
        <v>31.2</v>
      </c>
    </row>
    <row r="12" customFormat="false" ht="21.75" hidden="false" customHeight="true" outlineLevel="0" collapsed="false">
      <c r="A12" s="26" t="s">
        <v>50</v>
      </c>
      <c r="B12" s="26" t="s">
        <v>51</v>
      </c>
      <c r="C12" s="27" t="n">
        <v>23.4</v>
      </c>
      <c r="D12" s="27" t="n">
        <v>18.5</v>
      </c>
      <c r="E12" s="27" t="n">
        <v>27.1</v>
      </c>
      <c r="F12" s="27" t="n">
        <v>39.6</v>
      </c>
      <c r="G12" s="27" t="n">
        <v>7.7</v>
      </c>
      <c r="H12" s="27" t="n">
        <v>39.5</v>
      </c>
      <c r="I12" s="27" t="n">
        <v>10.9</v>
      </c>
      <c r="J12" s="27" t="n">
        <v>35</v>
      </c>
    </row>
    <row r="13" customFormat="false" ht="21.75" hidden="false" customHeight="true" outlineLevel="0" collapsed="false">
      <c r="A13" s="28" t="s">
        <v>53</v>
      </c>
      <c r="B13" s="28" t="s">
        <v>54</v>
      </c>
      <c r="C13" s="29" t="n">
        <v>13</v>
      </c>
      <c r="D13" s="29" t="n">
        <v>22.5</v>
      </c>
      <c r="E13" s="29" t="n">
        <v>3</v>
      </c>
      <c r="F13" s="29" t="n">
        <v>14.5</v>
      </c>
      <c r="G13" s="29" t="n">
        <v>33.3</v>
      </c>
      <c r="H13" s="29" t="n">
        <v>18.7</v>
      </c>
      <c r="I13" s="29" t="n">
        <v>12.9</v>
      </c>
      <c r="J13" s="29" t="n">
        <v>20.2</v>
      </c>
    </row>
    <row r="14" customFormat="false" ht="21.75" hidden="false" customHeight="true" outlineLevel="0" collapsed="false">
      <c r="A14" s="26" t="s">
        <v>55</v>
      </c>
      <c r="B14" s="26" t="s">
        <v>56</v>
      </c>
      <c r="C14" s="27" t="n">
        <v>59.7</v>
      </c>
      <c r="D14" s="27" t="n">
        <v>17.1</v>
      </c>
      <c r="E14" s="27" t="n">
        <v>14.2</v>
      </c>
      <c r="F14" s="27" t="n">
        <v>100</v>
      </c>
      <c r="G14" s="27" t="n">
        <v>12.5</v>
      </c>
      <c r="H14" s="27" t="n">
        <v>62.5</v>
      </c>
      <c r="I14" s="27" t="n">
        <v>12</v>
      </c>
      <c r="J14" s="27" t="n">
        <v>59.3</v>
      </c>
    </row>
    <row r="15" customFormat="false" ht="21.75" hidden="false" customHeight="true" outlineLevel="0" collapsed="false">
      <c r="A15" s="28" t="s">
        <v>57</v>
      </c>
      <c r="B15" s="28" t="s">
        <v>58</v>
      </c>
      <c r="C15" s="29" t="n">
        <v>21.1</v>
      </c>
      <c r="D15" s="29" t="n">
        <v>7.8</v>
      </c>
      <c r="E15" s="29" t="n">
        <v>16.1</v>
      </c>
      <c r="F15" s="29" t="n">
        <v>61.1</v>
      </c>
      <c r="G15" s="29" t="n">
        <v>8.9</v>
      </c>
      <c r="H15" s="29" t="n">
        <v>14.4</v>
      </c>
      <c r="I15" s="29" t="n">
        <v>14.9</v>
      </c>
      <c r="J15" s="29" t="n">
        <v>20.3</v>
      </c>
    </row>
    <row r="16" customFormat="false" ht="21.75" hidden="false" customHeight="true" outlineLevel="0" collapsed="false">
      <c r="A16" s="26" t="s">
        <v>61</v>
      </c>
      <c r="B16" s="26" t="s">
        <v>62</v>
      </c>
      <c r="C16" s="27" t="n">
        <v>54.3</v>
      </c>
      <c r="D16" s="27" t="n">
        <v>18</v>
      </c>
      <c r="E16" s="27" t="n">
        <v>23.4</v>
      </c>
      <c r="F16" s="27" t="n">
        <v>41.1</v>
      </c>
      <c r="G16" s="27" t="n">
        <v>0</v>
      </c>
      <c r="H16" s="27" t="n">
        <v>43.3</v>
      </c>
      <c r="I16" s="27" t="n">
        <v>73.7</v>
      </c>
      <c r="J16" s="27" t="n">
        <v>34.8</v>
      </c>
    </row>
    <row r="17" customFormat="false" ht="21.75" hidden="false" customHeight="true" outlineLevel="0" collapsed="false">
      <c r="A17" s="28" t="s">
        <v>64</v>
      </c>
      <c r="B17" s="28" t="s">
        <v>65</v>
      </c>
      <c r="C17" s="29" t="n">
        <v>66.9</v>
      </c>
      <c r="D17" s="29" t="n">
        <v>3</v>
      </c>
      <c r="E17" s="29" t="n">
        <v>42.3</v>
      </c>
      <c r="F17" s="29" t="n">
        <v>22</v>
      </c>
      <c r="G17" s="29" t="n">
        <v>12.5</v>
      </c>
      <c r="H17" s="29" t="n">
        <v>60.5</v>
      </c>
      <c r="I17" s="29" t="n">
        <v>9.9</v>
      </c>
      <c r="J17" s="29" t="n">
        <v>20.7</v>
      </c>
    </row>
    <row r="18" customFormat="false" ht="21.75" hidden="false" customHeight="true" outlineLevel="0" collapsed="false">
      <c r="A18" s="26" t="s">
        <v>67</v>
      </c>
      <c r="B18" s="26" t="s">
        <v>68</v>
      </c>
      <c r="C18" s="27" t="n">
        <v>55.4</v>
      </c>
      <c r="D18" s="27" t="n">
        <v>14.1</v>
      </c>
      <c r="E18" s="27" t="n">
        <v>54.2</v>
      </c>
      <c r="F18" s="27" t="n">
        <v>0</v>
      </c>
      <c r="G18" s="27" t="n">
        <v>4.2</v>
      </c>
      <c r="H18" s="27" t="n">
        <v>61.3</v>
      </c>
      <c r="I18" s="27" t="n">
        <v>34.5</v>
      </c>
      <c r="J18" s="27" t="n">
        <v>19</v>
      </c>
    </row>
    <row r="20" customFormat="false" ht="27.75" hidden="false" customHeight="true" outlineLevel="0" collapsed="false">
      <c r="A20" s="5" t="s">
        <v>2</v>
      </c>
      <c r="B20" s="5" t="s">
        <v>3</v>
      </c>
      <c r="C20" s="5" t="s">
        <v>72</v>
      </c>
      <c r="D20" s="5" t="s">
        <v>140</v>
      </c>
      <c r="E20" s="5" t="s">
        <v>141</v>
      </c>
      <c r="F20" s="5" t="s">
        <v>142</v>
      </c>
      <c r="G20" s="5" t="s">
        <v>141</v>
      </c>
      <c r="H20" s="5" t="s">
        <v>143</v>
      </c>
      <c r="I20" s="5" t="s">
        <v>141</v>
      </c>
      <c r="J20" s="5" t="s">
        <v>144</v>
      </c>
      <c r="K20" s="5" t="s">
        <v>145</v>
      </c>
      <c r="L20" s="5" t="s">
        <v>146</v>
      </c>
      <c r="M20" s="5" t="s">
        <v>147</v>
      </c>
      <c r="N20" s="5" t="s">
        <v>148</v>
      </c>
    </row>
    <row r="21" customFormat="false" ht="48" hidden="false" customHeight="true" outlineLevel="0" collapsed="false">
      <c r="A21" s="26" t="s">
        <v>16</v>
      </c>
      <c r="B21" s="26" t="s">
        <v>17</v>
      </c>
      <c r="C21" s="26" t="s">
        <v>18</v>
      </c>
      <c r="D21" s="26" t="s">
        <v>19</v>
      </c>
      <c r="E21" s="27" t="n">
        <v>50.5</v>
      </c>
      <c r="F21" s="26" t="s">
        <v>24</v>
      </c>
      <c r="G21" s="27" t="n">
        <v>24.6</v>
      </c>
      <c r="H21" s="26" t="s">
        <v>59</v>
      </c>
      <c r="I21" s="27" t="n">
        <v>23</v>
      </c>
      <c r="J21" s="26" t="s">
        <v>19</v>
      </c>
      <c r="K21" s="26" t="s">
        <v>20</v>
      </c>
      <c r="L21" s="26" t="s">
        <v>149</v>
      </c>
      <c r="M21" s="30" t="s">
        <v>150</v>
      </c>
      <c r="N21" s="30" t="s">
        <v>21</v>
      </c>
    </row>
    <row r="22" customFormat="false" ht="48" hidden="false" customHeight="true" outlineLevel="0" collapsed="false">
      <c r="A22" s="28" t="s">
        <v>22</v>
      </c>
      <c r="B22" s="28" t="s">
        <v>23</v>
      </c>
      <c r="C22" s="28" t="s">
        <v>18</v>
      </c>
      <c r="D22" s="28" t="s">
        <v>24</v>
      </c>
      <c r="E22" s="29" t="n">
        <v>26.5</v>
      </c>
      <c r="F22" s="28" t="s">
        <v>25</v>
      </c>
      <c r="G22" s="29" t="n">
        <v>23.7</v>
      </c>
      <c r="H22" s="28" t="s">
        <v>19</v>
      </c>
      <c r="I22" s="29" t="n">
        <v>19.7</v>
      </c>
      <c r="J22" s="28" t="s">
        <v>24</v>
      </c>
      <c r="K22" s="28" t="s">
        <v>25</v>
      </c>
      <c r="L22" s="28" t="s">
        <v>149</v>
      </c>
      <c r="M22" s="31" t="s">
        <v>151</v>
      </c>
      <c r="N22" s="31" t="s">
        <v>26</v>
      </c>
    </row>
    <row r="23" customFormat="false" ht="48" hidden="false" customHeight="true" outlineLevel="0" collapsed="false">
      <c r="A23" s="26" t="s">
        <v>27</v>
      </c>
      <c r="B23" s="26" t="s">
        <v>28</v>
      </c>
      <c r="C23" s="26" t="s">
        <v>29</v>
      </c>
      <c r="D23" s="26" t="s">
        <v>25</v>
      </c>
      <c r="E23" s="27" t="n">
        <v>56.6</v>
      </c>
      <c r="F23" s="26" t="s">
        <v>44</v>
      </c>
      <c r="G23" s="27" t="n">
        <v>34.8</v>
      </c>
      <c r="H23" s="26" t="s">
        <v>20</v>
      </c>
      <c r="I23" s="27" t="n">
        <v>28.8</v>
      </c>
      <c r="J23" s="26" t="s">
        <v>25</v>
      </c>
      <c r="K23" s="26" t="s">
        <v>20</v>
      </c>
      <c r="L23" s="26" t="s">
        <v>149</v>
      </c>
      <c r="M23" s="30" t="s">
        <v>152</v>
      </c>
      <c r="N23" s="30" t="s">
        <v>30</v>
      </c>
    </row>
    <row r="24" customFormat="false" ht="48" hidden="false" customHeight="true" outlineLevel="0" collapsed="false">
      <c r="A24" s="28" t="s">
        <v>31</v>
      </c>
      <c r="B24" s="28" t="s">
        <v>32</v>
      </c>
      <c r="C24" s="28" t="s">
        <v>29</v>
      </c>
      <c r="D24" s="28" t="s">
        <v>25</v>
      </c>
      <c r="E24" s="29" t="n">
        <v>45.8</v>
      </c>
      <c r="F24" s="28" t="s">
        <v>48</v>
      </c>
      <c r="G24" s="29" t="n">
        <v>22.7</v>
      </c>
      <c r="H24" s="28" t="s">
        <v>33</v>
      </c>
      <c r="I24" s="29" t="n">
        <v>22.6</v>
      </c>
      <c r="J24" s="28" t="s">
        <v>25</v>
      </c>
      <c r="K24" s="28" t="s">
        <v>33</v>
      </c>
      <c r="L24" s="28" t="s">
        <v>149</v>
      </c>
      <c r="M24" s="31" t="s">
        <v>153</v>
      </c>
      <c r="N24" s="31" t="s">
        <v>34</v>
      </c>
    </row>
    <row r="25" customFormat="false" ht="48" hidden="false" customHeight="true" outlineLevel="0" collapsed="false">
      <c r="A25" s="26" t="s">
        <v>35</v>
      </c>
      <c r="B25" s="26" t="s">
        <v>36</v>
      </c>
      <c r="C25" s="26" t="s">
        <v>37</v>
      </c>
      <c r="D25" s="26" t="s">
        <v>33</v>
      </c>
      <c r="E25" s="27" t="n">
        <v>51.7</v>
      </c>
      <c r="F25" s="26" t="s">
        <v>19</v>
      </c>
      <c r="G25" s="27" t="n">
        <v>40.3</v>
      </c>
      <c r="H25" s="26" t="s">
        <v>25</v>
      </c>
      <c r="I25" s="27" t="n">
        <v>37.5</v>
      </c>
      <c r="J25" s="26" t="s">
        <v>33</v>
      </c>
      <c r="K25" s="26" t="s">
        <v>25</v>
      </c>
      <c r="L25" s="26" t="s">
        <v>149</v>
      </c>
      <c r="M25" s="30" t="s">
        <v>154</v>
      </c>
      <c r="N25" s="30" t="s">
        <v>38</v>
      </c>
    </row>
    <row r="26" customFormat="false" ht="48" hidden="false" customHeight="true" outlineLevel="0" collapsed="false">
      <c r="A26" s="28" t="s">
        <v>39</v>
      </c>
      <c r="B26" s="28" t="s">
        <v>40</v>
      </c>
      <c r="C26" s="28" t="s">
        <v>37</v>
      </c>
      <c r="D26" s="32" t="s">
        <v>48</v>
      </c>
      <c r="E26" s="29" t="n">
        <v>77.1</v>
      </c>
      <c r="F26" s="28" t="s">
        <v>33</v>
      </c>
      <c r="G26" s="29" t="n">
        <v>73.3</v>
      </c>
      <c r="H26" s="28" t="s">
        <v>20</v>
      </c>
      <c r="I26" s="29" t="n">
        <v>54.2</v>
      </c>
      <c r="J26" s="28" t="s">
        <v>33</v>
      </c>
      <c r="K26" s="28" t="s">
        <v>20</v>
      </c>
      <c r="L26" s="28" t="s">
        <v>149</v>
      </c>
      <c r="M26" s="31" t="s">
        <v>155</v>
      </c>
      <c r="N26" s="31" t="s">
        <v>41</v>
      </c>
    </row>
    <row r="27" customFormat="false" ht="48" hidden="false" customHeight="true" outlineLevel="0" collapsed="false">
      <c r="A27" s="26" t="s">
        <v>42</v>
      </c>
      <c r="B27" s="26" t="s">
        <v>43</v>
      </c>
      <c r="C27" s="26" t="s">
        <v>37</v>
      </c>
      <c r="D27" s="32" t="s">
        <v>20</v>
      </c>
      <c r="E27" s="27" t="n">
        <v>59.1</v>
      </c>
      <c r="F27" s="26" t="s">
        <v>44</v>
      </c>
      <c r="G27" s="27" t="n">
        <v>48.3</v>
      </c>
      <c r="H27" s="26" t="s">
        <v>19</v>
      </c>
      <c r="I27" s="27" t="n">
        <v>32.3</v>
      </c>
      <c r="J27" s="33" t="s">
        <v>20</v>
      </c>
      <c r="K27" s="33" t="s">
        <v>44</v>
      </c>
      <c r="L27" s="33" t="s">
        <v>156</v>
      </c>
      <c r="M27" s="30" t="s">
        <v>157</v>
      </c>
      <c r="N27" s="30" t="s">
        <v>45</v>
      </c>
    </row>
    <row r="28" customFormat="false" ht="48" hidden="false" customHeight="true" outlineLevel="0" collapsed="false">
      <c r="A28" s="28" t="s">
        <v>46</v>
      </c>
      <c r="B28" s="28" t="s">
        <v>47</v>
      </c>
      <c r="C28" s="28" t="s">
        <v>29</v>
      </c>
      <c r="D28" s="28" t="s">
        <v>48</v>
      </c>
      <c r="E28" s="29" t="n">
        <v>52.9</v>
      </c>
      <c r="F28" s="28" t="s">
        <v>19</v>
      </c>
      <c r="G28" s="29" t="n">
        <v>31.2</v>
      </c>
      <c r="H28" s="28" t="s">
        <v>20</v>
      </c>
      <c r="I28" s="29" t="n">
        <v>29.9</v>
      </c>
      <c r="J28" s="28" t="s">
        <v>48</v>
      </c>
      <c r="K28" s="28" t="s">
        <v>20</v>
      </c>
      <c r="L28" s="28" t="s">
        <v>149</v>
      </c>
      <c r="M28" s="31" t="s">
        <v>158</v>
      </c>
      <c r="N28" s="31" t="s">
        <v>49</v>
      </c>
    </row>
    <row r="29" customFormat="false" ht="48" hidden="false" customHeight="true" outlineLevel="0" collapsed="false">
      <c r="A29" s="26" t="s">
        <v>50</v>
      </c>
      <c r="B29" s="26" t="s">
        <v>51</v>
      </c>
      <c r="C29" s="26" t="s">
        <v>29</v>
      </c>
      <c r="D29" s="26" t="s">
        <v>24</v>
      </c>
      <c r="E29" s="27" t="n">
        <v>39.6</v>
      </c>
      <c r="F29" s="26" t="s">
        <v>44</v>
      </c>
      <c r="G29" s="27" t="n">
        <v>39.5</v>
      </c>
      <c r="H29" s="26" t="s">
        <v>19</v>
      </c>
      <c r="I29" s="27" t="n">
        <v>35</v>
      </c>
      <c r="J29" s="26" t="s">
        <v>24</v>
      </c>
      <c r="K29" s="26" t="s">
        <v>44</v>
      </c>
      <c r="L29" s="26" t="s">
        <v>149</v>
      </c>
      <c r="M29" s="30" t="s">
        <v>159</v>
      </c>
      <c r="N29" s="30" t="s">
        <v>52</v>
      </c>
    </row>
    <row r="30" customFormat="false" ht="48" hidden="false" customHeight="true" outlineLevel="0" collapsed="false">
      <c r="A30" s="28" t="s">
        <v>53</v>
      </c>
      <c r="B30" s="28" t="s">
        <v>54</v>
      </c>
      <c r="C30" s="28" t="s">
        <v>29</v>
      </c>
      <c r="D30" s="28" t="s">
        <v>25</v>
      </c>
      <c r="E30" s="29" t="n">
        <v>33.3</v>
      </c>
      <c r="F30" s="28" t="s">
        <v>20</v>
      </c>
      <c r="G30" s="29" t="n">
        <v>22.5</v>
      </c>
      <c r="H30" s="28" t="s">
        <v>19</v>
      </c>
      <c r="I30" s="29" t="n">
        <v>20.2</v>
      </c>
      <c r="J30" s="28" t="s">
        <v>20</v>
      </c>
      <c r="K30" s="28" t="s">
        <v>44</v>
      </c>
      <c r="L30" s="28" t="s">
        <v>149</v>
      </c>
      <c r="M30" s="31" t="s">
        <v>160</v>
      </c>
      <c r="N30" s="31" t="s">
        <v>45</v>
      </c>
    </row>
    <row r="31" customFormat="false" ht="48" hidden="false" customHeight="true" outlineLevel="0" collapsed="false">
      <c r="A31" s="26" t="s">
        <v>55</v>
      </c>
      <c r="B31" s="26" t="s">
        <v>56</v>
      </c>
      <c r="C31" s="26" t="s">
        <v>29</v>
      </c>
      <c r="D31" s="26" t="s">
        <v>24</v>
      </c>
      <c r="E31" s="27" t="n">
        <v>100</v>
      </c>
      <c r="F31" s="26" t="s">
        <v>44</v>
      </c>
      <c r="G31" s="27" t="n">
        <v>62.5</v>
      </c>
      <c r="H31" s="26" t="s">
        <v>59</v>
      </c>
      <c r="I31" s="27" t="n">
        <v>59.7</v>
      </c>
      <c r="J31" s="26" t="s">
        <v>24</v>
      </c>
      <c r="K31" s="26" t="s">
        <v>44</v>
      </c>
      <c r="L31" s="26" t="s">
        <v>149</v>
      </c>
      <c r="M31" s="30" t="s">
        <v>161</v>
      </c>
      <c r="N31" s="30" t="s">
        <v>52</v>
      </c>
    </row>
    <row r="32" customFormat="false" ht="48" hidden="false" customHeight="true" outlineLevel="0" collapsed="false">
      <c r="A32" s="28" t="s">
        <v>57</v>
      </c>
      <c r="B32" s="28" t="s">
        <v>58</v>
      </c>
      <c r="C32" s="28" t="s">
        <v>29</v>
      </c>
      <c r="D32" s="28" t="s">
        <v>24</v>
      </c>
      <c r="E32" s="29" t="n">
        <v>61.1</v>
      </c>
      <c r="F32" s="28" t="s">
        <v>59</v>
      </c>
      <c r="G32" s="29" t="n">
        <v>21.1</v>
      </c>
      <c r="H32" s="28" t="s">
        <v>19</v>
      </c>
      <c r="I32" s="29" t="n">
        <v>20.3</v>
      </c>
      <c r="J32" s="28" t="s">
        <v>24</v>
      </c>
      <c r="K32" s="28" t="s">
        <v>59</v>
      </c>
      <c r="L32" s="28" t="s">
        <v>149</v>
      </c>
      <c r="M32" s="31" t="s">
        <v>162</v>
      </c>
      <c r="N32" s="31" t="s">
        <v>60</v>
      </c>
    </row>
    <row r="33" customFormat="false" ht="48" hidden="false" customHeight="true" outlineLevel="0" collapsed="false">
      <c r="A33" s="26" t="s">
        <v>61</v>
      </c>
      <c r="B33" s="26" t="s">
        <v>62</v>
      </c>
      <c r="C33" s="26" t="s">
        <v>37</v>
      </c>
      <c r="D33" s="26" t="s">
        <v>33</v>
      </c>
      <c r="E33" s="27" t="n">
        <v>73.7</v>
      </c>
      <c r="F33" s="26" t="s">
        <v>59</v>
      </c>
      <c r="G33" s="27" t="n">
        <v>54.3</v>
      </c>
      <c r="H33" s="26" t="s">
        <v>44</v>
      </c>
      <c r="I33" s="27" t="n">
        <v>43.3</v>
      </c>
      <c r="J33" s="26" t="s">
        <v>33</v>
      </c>
      <c r="K33" s="26" t="s">
        <v>59</v>
      </c>
      <c r="L33" s="26" t="s">
        <v>149</v>
      </c>
      <c r="M33" s="30" t="s">
        <v>163</v>
      </c>
      <c r="N33" s="30" t="s">
        <v>63</v>
      </c>
    </row>
    <row r="34" customFormat="false" ht="48" hidden="false" customHeight="true" outlineLevel="0" collapsed="false">
      <c r="A34" s="28" t="s">
        <v>64</v>
      </c>
      <c r="B34" s="28" t="s">
        <v>65</v>
      </c>
      <c r="C34" s="28" t="s">
        <v>29</v>
      </c>
      <c r="D34" s="32" t="s">
        <v>59</v>
      </c>
      <c r="E34" s="29" t="n">
        <v>66.9</v>
      </c>
      <c r="F34" s="28" t="s">
        <v>44</v>
      </c>
      <c r="G34" s="29" t="n">
        <v>60.5</v>
      </c>
      <c r="H34" s="28" t="s">
        <v>48</v>
      </c>
      <c r="I34" s="29" t="n">
        <v>42.3</v>
      </c>
      <c r="J34" s="33" t="s">
        <v>59</v>
      </c>
      <c r="K34" s="33" t="s">
        <v>44</v>
      </c>
      <c r="L34" s="33" t="s">
        <v>156</v>
      </c>
      <c r="M34" s="31" t="s">
        <v>164</v>
      </c>
      <c r="N34" s="31" t="s">
        <v>66</v>
      </c>
    </row>
    <row r="35" customFormat="false" ht="48" hidden="false" customHeight="true" outlineLevel="0" collapsed="false">
      <c r="A35" s="26" t="s">
        <v>67</v>
      </c>
      <c r="B35" s="26" t="s">
        <v>68</v>
      </c>
      <c r="C35" s="26" t="s">
        <v>37</v>
      </c>
      <c r="D35" s="26" t="s">
        <v>44</v>
      </c>
      <c r="E35" s="27" t="n">
        <v>61.3</v>
      </c>
      <c r="F35" s="26" t="s">
        <v>59</v>
      </c>
      <c r="G35" s="27" t="n">
        <v>55.4</v>
      </c>
      <c r="H35" s="26" t="s">
        <v>48</v>
      </c>
      <c r="I35" s="27" t="n">
        <v>54.2</v>
      </c>
      <c r="J35" s="33" t="s">
        <v>59</v>
      </c>
      <c r="K35" s="33" t="s">
        <v>33</v>
      </c>
      <c r="L35" s="33" t="s">
        <v>156</v>
      </c>
      <c r="M35" s="30" t="s">
        <v>165</v>
      </c>
      <c r="N35" s="30" t="s">
        <v>69</v>
      </c>
    </row>
    <row r="37" customFormat="false" ht="58.5" hidden="false" customHeight="true" outlineLevel="0" collapsed="false">
      <c r="A37" s="5" t="s">
        <v>166</v>
      </c>
      <c r="B37" s="5" t="s">
        <v>167</v>
      </c>
    </row>
    <row r="38" customFormat="false" ht="39.75" hidden="false" customHeight="true" outlineLevel="0" collapsed="false">
      <c r="A38" s="26" t="s">
        <v>59</v>
      </c>
      <c r="B38" s="30" t="s">
        <v>168</v>
      </c>
    </row>
    <row r="39" customFormat="false" ht="39.75" hidden="false" customHeight="true" outlineLevel="0" collapsed="false">
      <c r="A39" s="28" t="s">
        <v>20</v>
      </c>
      <c r="B39" s="31" t="s">
        <v>169</v>
      </c>
    </row>
    <row r="40" customFormat="false" ht="39.75" hidden="false" customHeight="true" outlineLevel="0" collapsed="false">
      <c r="A40" s="26" t="s">
        <v>48</v>
      </c>
      <c r="B40" s="30" t="s">
        <v>170</v>
      </c>
    </row>
    <row r="41" customFormat="false" ht="39.75" hidden="false" customHeight="true" outlineLevel="0" collapsed="false">
      <c r="A41" s="28" t="s">
        <v>24</v>
      </c>
      <c r="B41" s="31" t="s">
        <v>171</v>
      </c>
    </row>
    <row r="42" customFormat="false" ht="39.75" hidden="false" customHeight="true" outlineLevel="0" collapsed="false">
      <c r="A42" s="26" t="s">
        <v>25</v>
      </c>
      <c r="B42" s="30" t="s">
        <v>172</v>
      </c>
    </row>
    <row r="43" customFormat="false" ht="39.75" hidden="false" customHeight="true" outlineLevel="0" collapsed="false">
      <c r="A43" s="28" t="s">
        <v>44</v>
      </c>
      <c r="B43" s="31" t="s">
        <v>173</v>
      </c>
    </row>
    <row r="44" customFormat="false" ht="39.75" hidden="false" customHeight="true" outlineLevel="0" collapsed="false">
      <c r="A44" s="26" t="s">
        <v>33</v>
      </c>
      <c r="B44" s="30" t="s">
        <v>174</v>
      </c>
    </row>
    <row r="45" customFormat="false" ht="39.75" hidden="false" customHeight="true" outlineLevel="0" collapsed="false">
      <c r="A45" s="28" t="s">
        <v>19</v>
      </c>
      <c r="B45" s="31" t="s">
        <v>175</v>
      </c>
    </row>
    <row r="47" customFormat="false" ht="30" hidden="false" customHeight="true" outlineLevel="0" collapsed="false">
      <c r="A47" s="34" t="s">
        <v>176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</sheetData>
  <mergeCells count="3">
    <mergeCell ref="A1:O1"/>
    <mergeCell ref="A2:O2"/>
    <mergeCell ref="A47:N47"/>
  </mergeCells>
  <conditionalFormatting sqref="C4:J18">
    <cfRule type="colorScale" priority="2">
      <colorScale>
        <cfvo type="num" val="0"/>
        <cfvo type="num" val="100"/>
        <color rgb="FFFFFFFF"/>
        <color rgb="FF0179B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  <col collapsed="false" customWidth="true" hidden="false" outlineLevel="0" max="5" min="4" style="1" width="16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1" min="10" style="1" width="16"/>
  </cols>
  <sheetData>
    <row r="1" customFormat="false" ht="27" hidden="false" customHeight="true" outlineLevel="0" collapsed="false">
      <c r="A1" s="35" t="s">
        <v>177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customFormat="false" ht="18" hidden="false" customHeight="true" outlineLevel="0" collapsed="false">
      <c r="A2" s="25" t="s">
        <v>178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27.75" hidden="false" customHeight="true" outlineLevel="0" collapsed="false">
      <c r="A3" s="5" t="s">
        <v>179</v>
      </c>
      <c r="B3" s="5" t="s">
        <v>180</v>
      </c>
      <c r="C3" s="5" t="s">
        <v>181</v>
      </c>
      <c r="D3" s="5" t="s">
        <v>182</v>
      </c>
      <c r="E3" s="5" t="s">
        <v>183</v>
      </c>
      <c r="F3" s="5" t="s">
        <v>184</v>
      </c>
      <c r="G3" s="5" t="s">
        <v>185</v>
      </c>
      <c r="H3" s="5" t="s">
        <v>186</v>
      </c>
      <c r="I3" s="5" t="s">
        <v>187</v>
      </c>
    </row>
    <row r="4" customFormat="false" ht="21.75" hidden="false" customHeight="true" outlineLevel="0" collapsed="false">
      <c r="A4" s="26" t="s">
        <v>188</v>
      </c>
      <c r="B4" s="36" t="n">
        <f aca="false">SUMIFS(Tableau_TimeSeries!$F:$F,Tableau_TimeSeries!$C:$C,2019)</f>
        <v>500737</v>
      </c>
      <c r="C4" s="36" t="n">
        <f aca="false">SUMIFS(Tableau_TimeSeries!$G:$G,Tableau_TimeSeries!$C:$C,2019)</f>
        <v>1219152</v>
      </c>
      <c r="D4" s="36" t="n">
        <f aca="false">B4+C4</f>
        <v>1719889</v>
      </c>
      <c r="E4" s="27" t="n">
        <f aca="false">AVERAGEIFS(Tableau_TimeSeries!$I:$I,Tableau_TimeSeries!$C:$C,2019)</f>
        <v>56.6932203389831</v>
      </c>
      <c r="F4" s="37" t="n">
        <f aca="false">AVERAGEIFS(Tableau_TimeSeries!$H:$H,Tableau_TimeSeries!$C:$C,2019)</f>
        <v>107.809830508475</v>
      </c>
      <c r="G4" s="38" t="n">
        <f aca="false">AVERAGEIFS(Tableau_TimeSeries!$J:$J,Tableau_TimeSeries!$C:$C,2019)</f>
        <v>2.57533333333333</v>
      </c>
      <c r="H4" s="27" t="n">
        <f aca="false">B4/$B$4*100</f>
        <v>100</v>
      </c>
      <c r="I4" s="27" t="n">
        <f aca="false">C4/$C$4*100</f>
        <v>100</v>
      </c>
    </row>
    <row r="5" customFormat="false" ht="21.75" hidden="false" customHeight="true" outlineLevel="0" collapsed="false">
      <c r="A5" s="26" t="s">
        <v>189</v>
      </c>
      <c r="B5" s="36" t="n">
        <f aca="false">SUMIFS(Tableau_TimeSeries!$F:$F,Tableau_TimeSeries!$C:$C,2020)</f>
        <v>113608</v>
      </c>
      <c r="C5" s="36" t="n">
        <f aca="false">SUMIFS(Tableau_TimeSeries!$G:$G,Tableau_TimeSeries!$C:$C,2020)</f>
        <v>631158</v>
      </c>
      <c r="D5" s="36" t="n">
        <f aca="false">B5+C5</f>
        <v>744766</v>
      </c>
      <c r="E5" s="27" t="n">
        <f aca="false">AVERAGEIFS(Tableau_TimeSeries!$I:$I,Tableau_TimeSeries!$C:$C,2020)</f>
        <v>35.7440677966102</v>
      </c>
      <c r="F5" s="27" t="n">
        <f aca="false">AVERAGEIFS(Tableau_TimeSeries!$H:$H,Tableau_TimeSeries!$C:$C,2020)</f>
        <v>88.0477966101695</v>
      </c>
      <c r="G5" s="38" t="n">
        <f aca="false">AVERAGEIFS(Tableau_TimeSeries!$J:$J,Tableau_TimeSeries!$C:$C,2020)</f>
        <v>2.55983333333333</v>
      </c>
      <c r="H5" s="27" t="n">
        <f aca="false">B5/$B$4*100</f>
        <v>22.6881576556156</v>
      </c>
      <c r="I5" s="27" t="n">
        <f aca="false">C5/$C$4*100</f>
        <v>51.7702468601126</v>
      </c>
    </row>
    <row r="6" customFormat="false" ht="21.75" hidden="false" customHeight="true" outlineLevel="0" collapsed="false">
      <c r="A6" s="26" t="s">
        <v>190</v>
      </c>
      <c r="B6" s="36" t="n">
        <f aca="false">SUMIFS(Tableau_TimeSeries!$F:$F,Tableau_TimeSeries!$C:$C,2021)</f>
        <v>119446</v>
      </c>
      <c r="C6" s="36" t="n">
        <f aca="false">SUMIFS(Tableau_TimeSeries!$G:$G,Tableau_TimeSeries!$C:$C,2021)</f>
        <v>638159</v>
      </c>
      <c r="D6" s="36" t="n">
        <f aca="false">B6+C6</f>
        <v>757605</v>
      </c>
      <c r="E6" s="27" t="n">
        <f aca="false">AVERAGEIFS(Tableau_TimeSeries!$I:$I,Tableau_TimeSeries!$C:$C,2021)</f>
        <v>35.8762711864407</v>
      </c>
      <c r="F6" s="27" t="n">
        <f aca="false">AVERAGEIFS(Tableau_TimeSeries!$H:$H,Tableau_TimeSeries!$C:$C,2021)</f>
        <v>92.5625</v>
      </c>
      <c r="G6" s="38" t="n">
        <f aca="false">AVERAGEIFS(Tableau_TimeSeries!$J:$J,Tableau_TimeSeries!$C:$C,2021)</f>
        <v>2.60366666666667</v>
      </c>
      <c r="H6" s="27" t="n">
        <f aca="false">B6/$B$4*100</f>
        <v>23.8540391462984</v>
      </c>
      <c r="I6" s="27" t="n">
        <f aca="false">C6/$C$4*100</f>
        <v>52.3444984710684</v>
      </c>
    </row>
    <row r="7" customFormat="false" ht="21.75" hidden="false" customHeight="true" outlineLevel="0" collapsed="false">
      <c r="A7" s="26" t="s">
        <v>191</v>
      </c>
      <c r="B7" s="36" t="n">
        <f aca="false">SUMIFS(Tableau_TimeSeries!$F:$F,Tableau_TimeSeries!$C:$C,2022)</f>
        <v>469817</v>
      </c>
      <c r="C7" s="36" t="n">
        <f aca="false">SUMIFS(Tableau_TimeSeries!$G:$G,Tableau_TimeSeries!$C:$C,2022)</f>
        <v>1176744</v>
      </c>
      <c r="D7" s="36" t="n">
        <f aca="false">B7+C7</f>
        <v>1646561</v>
      </c>
      <c r="E7" s="27" t="n">
        <f aca="false">AVERAGEIFS(Tableau_TimeSeries!$I:$I,Tableau_TimeSeries!$C:$C,2022)</f>
        <v>50.3491525423729</v>
      </c>
      <c r="F7" s="27" t="n">
        <f aca="false">AVERAGEIFS(Tableau_TimeSeries!$H:$H,Tableau_TimeSeries!$C:$C,2022)</f>
        <v>114.191166666667</v>
      </c>
      <c r="G7" s="38" t="n">
        <f aca="false">AVERAGEIFS(Tableau_TimeSeries!$J:$J,Tableau_TimeSeries!$C:$C,2022)</f>
        <v>2.60266666666667</v>
      </c>
      <c r="H7" s="27" t="n">
        <f aca="false">B7/$B$4*100</f>
        <v>93.8251017999469</v>
      </c>
      <c r="I7" s="27" t="n">
        <f aca="false">C7/$C$4*100</f>
        <v>96.5215165951416</v>
      </c>
    </row>
    <row r="8" customFormat="false" ht="21.75" hidden="false" customHeight="true" outlineLevel="0" collapsed="false">
      <c r="A8" s="26" t="s">
        <v>192</v>
      </c>
      <c r="B8" s="36" t="n">
        <f aca="false">SUMIFS(Tableau_TimeSeries!$F:$F,Tableau_TimeSeries!$C:$C,2023)</f>
        <v>639918</v>
      </c>
      <c r="C8" s="36" t="n">
        <f aca="false">SUMIFS(Tableau_TimeSeries!$G:$G,Tableau_TimeSeries!$C:$C,2023)</f>
        <v>1425773</v>
      </c>
      <c r="D8" s="36" t="n">
        <f aca="false">B8+C8</f>
        <v>2065691</v>
      </c>
      <c r="E8" s="27" t="n">
        <f aca="false">AVERAGEIFS(Tableau_TimeSeries!$I:$I,Tableau_TimeSeries!$C:$C,2023)</f>
        <v>57.3833333333333</v>
      </c>
      <c r="F8" s="27" t="n">
        <f aca="false">AVERAGEIFS(Tableau_TimeSeries!$H:$H,Tableau_TimeSeries!$C:$C,2023)</f>
        <v>125.34593220339</v>
      </c>
      <c r="G8" s="38" t="n">
        <f aca="false">AVERAGEIFS(Tableau_TimeSeries!$J:$J,Tableau_TimeSeries!$C:$C,2023)</f>
        <v>2.57383333333333</v>
      </c>
      <c r="H8" s="27" t="n">
        <f aca="false">B8/$B$4*100</f>
        <v>127.795229831229</v>
      </c>
      <c r="I8" s="27" t="n">
        <f aca="false">C8/$C$4*100</f>
        <v>116.947927739937</v>
      </c>
    </row>
    <row r="9" customFormat="false" ht="21.75" hidden="false" customHeight="true" outlineLevel="0" collapsed="false">
      <c r="A9" s="26" t="s">
        <v>193</v>
      </c>
      <c r="B9" s="36" t="n">
        <f aca="false">SUMIFS(Tableau_TimeSeries!$F:$F,Tableau_TimeSeries!$C:$C,2024)</f>
        <v>713076</v>
      </c>
      <c r="C9" s="36" t="n">
        <f aca="false">SUMIFS(Tableau_TimeSeries!$G:$G,Tableau_TimeSeries!$C:$C,2024)</f>
        <v>1489548</v>
      </c>
      <c r="D9" s="36" t="n">
        <f aca="false">B9+C9</f>
        <v>2202624</v>
      </c>
      <c r="E9" s="27" t="n">
        <f aca="false">AVERAGEIFS(Tableau_TimeSeries!$I:$I,Tableau_TimeSeries!$C:$C,2024)</f>
        <v>57.405</v>
      </c>
      <c r="F9" s="27" t="n">
        <f aca="false">AVERAGEIFS(Tableau_TimeSeries!$H:$H,Tableau_TimeSeries!$C:$C,2024)</f>
        <v>131.733275862069</v>
      </c>
      <c r="G9" s="38" t="n">
        <f aca="false">AVERAGEIFS(Tableau_TimeSeries!$J:$J,Tableau_TimeSeries!$C:$C,2024)</f>
        <v>2.60316666666667</v>
      </c>
      <c r="H9" s="27" t="n">
        <f aca="false">B9/$B$4*100</f>
        <v>142.405294595766</v>
      </c>
      <c r="I9" s="27" t="n">
        <f aca="false">C9/$C$4*100</f>
        <v>122.179022796173</v>
      </c>
    </row>
    <row r="10" customFormat="false" ht="21.75" hidden="false" customHeight="true" outlineLevel="0" collapsed="false">
      <c r="A10" s="26" t="s">
        <v>194</v>
      </c>
      <c r="B10" s="39" t="n">
        <f aca="false">SUMIFS(Tableau_TimeSeries!$F:$F,Tableau_TimeSeries!$C:$C,2024,Tableau_TimeSeries!$D:$D,"Q4")+SUMIFS(Tableau_TimeSeries!$F:$F,Tableau_TimeSeries!$C:$C,2025)</f>
        <v>733718</v>
      </c>
      <c r="C10" s="39" t="n">
        <f aca="false">SUMIFS(Tableau_TimeSeries!$G:$G,Tableau_TimeSeries!$C:$C,2024,Tableau_TimeSeries!$D:$D,"Q4")+SUMIFS(Tableau_TimeSeries!$G:$G,Tableau_TimeSeries!$C:$C,2025)</f>
        <v>1551568</v>
      </c>
      <c r="D10" s="36" t="n">
        <f aca="false">B10+C10</f>
        <v>2285286</v>
      </c>
      <c r="E10" s="37" t="n">
        <f aca="false">(SUMIFS(Tableau_TimeSeries!$I:$I,Tableau_TimeSeries!$C:$C,2024,Tableau_TimeSeries!$D:$D,"Q4")+SUMIFS(Tableau_TimeSeries!$I:$I,Tableau_TimeSeries!$C:$C,2025))/(COUNTIFS(Tableau_TimeSeries!$I:$I,"&lt;&gt;",Tableau_TimeSeries!$C:$C,2024,Tableau_TimeSeries!$D:$D,"Q4")+COUNTIFS(Tableau_TimeSeries!$I:$I,"&lt;&gt;",Tableau_TimeSeries!$C:$C,2025))</f>
        <v>57.2620689655172</v>
      </c>
      <c r="F10" s="37" t="n">
        <f aca="false">(SUMIFS(Tableau_TimeSeries!$H:$H,Tableau_TimeSeries!$C:$C,2024,Tableau_TimeSeries!$D:$D,"Q4")+SUMIFS(Tableau_TimeSeries!$H:$H,Tableau_TimeSeries!$C:$C,2025))/(COUNTIFS(Tableau_TimeSeries!$H:$H,"&lt;&gt;",Tableau_TimeSeries!$C:$C,2024,Tableau_TimeSeries!$D:$D,"Q4")+COUNTIFS(Tableau_TimeSeries!$H:$H,"&lt;&gt;",Tableau_TimeSeries!$C:$C,2025))</f>
        <v>136.0145</v>
      </c>
      <c r="G10" s="38" t="n">
        <f aca="false">(SUMIFS(Tableau_TimeSeries!$J:$J,Tableau_TimeSeries!$C:$C,2024,Tableau_TimeSeries!$D:$D,"Q4")+SUMIFS(Tableau_TimeSeries!$J:$J,Tableau_TimeSeries!$C:$C,2025))/(COUNTIFS(Tableau_TimeSeries!$J:$J,"&lt;&gt;",Tableau_TimeSeries!$C:$C,2024,Tableau_TimeSeries!$D:$D,"Q4")+COUNTIFS(Tableau_TimeSeries!$J:$J,"&lt;&gt;",Tableau_TimeSeries!$C:$C,2025))</f>
        <v>2.601</v>
      </c>
      <c r="H10" s="37" t="n">
        <f aca="false">B10/$B$4*100</f>
        <v>146.52761829064</v>
      </c>
      <c r="I10" s="37" t="n">
        <f aca="false">C10/$C$4*100</f>
        <v>127.266165334593</v>
      </c>
    </row>
    <row r="11" customFormat="false" ht="30" hidden="false" customHeight="true" outlineLevel="0" collapsed="false">
      <c r="A11" s="34" t="s">
        <v>195</v>
      </c>
      <c r="B11" s="34"/>
      <c r="C11" s="34"/>
      <c r="D11" s="34"/>
      <c r="E11" s="34"/>
      <c r="F11" s="34"/>
      <c r="G11" s="34"/>
      <c r="H11" s="34"/>
      <c r="I11" s="34"/>
    </row>
    <row r="13" customFormat="false" ht="27.75" hidden="false" customHeight="true" outlineLevel="0" collapsed="false">
      <c r="A13" s="5" t="s">
        <v>2</v>
      </c>
      <c r="B13" s="5" t="s">
        <v>3</v>
      </c>
      <c r="C13" s="5" t="s">
        <v>72</v>
      </c>
      <c r="D13" s="5" t="s">
        <v>196</v>
      </c>
      <c r="E13" s="5" t="s">
        <v>197</v>
      </c>
      <c r="F13" s="5" t="s">
        <v>198</v>
      </c>
      <c r="G13" s="5" t="s">
        <v>199</v>
      </c>
      <c r="H13" s="5" t="s">
        <v>200</v>
      </c>
      <c r="I13" s="5" t="s">
        <v>201</v>
      </c>
      <c r="J13" s="5" t="s">
        <v>202</v>
      </c>
      <c r="K13" s="5" t="s">
        <v>203</v>
      </c>
    </row>
    <row r="14" customFormat="false" ht="21.75" hidden="false" customHeight="true" outlineLevel="0" collapsed="false">
      <c r="A14" s="26" t="s">
        <v>16</v>
      </c>
      <c r="B14" s="26" t="s">
        <v>17</v>
      </c>
      <c r="C14" s="26" t="s">
        <v>18</v>
      </c>
      <c r="D14" s="36" t="n">
        <f aca="false">SUMIFS(Tableau_TimeSeries!$F:$F,Tableau_TimeSeries!$A:$A,"XV",Tableau_TimeSeries!$C:$C,2024,Tableau_TimeSeries!$D:$D,"Q4")+SUMIFS(Tableau_TimeSeries!$F:$F,Tableau_TimeSeries!$A:$A,"XV",Tableau_TimeSeries!$C:$C,2025)</f>
        <v>27443</v>
      </c>
      <c r="E14" s="36" t="n">
        <f aca="false">SUMIFS(Tableau_TimeSeries!$G:$G,Tableau_TimeSeries!$A:$A,"XV",Tableau_TimeSeries!$C:$C,2024,Tableau_TimeSeries!$D:$D,"Q4")+SUMIFS(Tableau_TimeSeries!$G:$G,Tableau_TimeSeries!$A:$A,"XV",Tableau_TimeSeries!$C:$C,2025)</f>
        <v>62007</v>
      </c>
      <c r="F14" s="27" t="n">
        <f aca="false">(SUMIFS(Tableau_TimeSeries!$I:$I,Tableau_TimeSeries!$A:$A,"XV",Tableau_TimeSeries!$C:$C,2024,Tableau_TimeSeries!$D:$D,"Q4")+SUMIFS(Tableau_TimeSeries!$I:$I,Tableau_TimeSeries!$A:$A,"XV",Tableau_TimeSeries!$C:$C,2025))/(COUNTIFS(Tableau_TimeSeries!$I:$I,"&lt;&gt;",Tableau_TimeSeries!$A:$A,"XV",Tableau_TimeSeries!$C:$C,2024,Tableau_TimeSeries!$D:$D,"Q4")+COUNTIFS(Tableau_TimeSeries!$I:$I,"&lt;&gt;",Tableau_TimeSeries!$A:$A,"XV",Tableau_TimeSeries!$C:$C,2025))</f>
        <v>57</v>
      </c>
      <c r="G14" s="27" t="n">
        <f aca="false">(SUMIFS(Tableau_TimeSeries!$H:$H,Tableau_TimeSeries!$A:$A,"XV",Tableau_TimeSeries!$C:$C,2024,Tableau_TimeSeries!$D:$D,"Q4")+SUMIFS(Tableau_TimeSeries!$H:$H,Tableau_TimeSeries!$A:$A,"XV",Tableau_TimeSeries!$C:$C,2025))/(COUNTIFS(Tableau_TimeSeries!$H:$H,"&lt;&gt;",Tableau_TimeSeries!$A:$A,"XV",Tableau_TimeSeries!$C:$C,2024,Tableau_TimeSeries!$D:$D,"Q4")+COUNTIFS(Tableau_TimeSeries!$H:$H,"&lt;&gt;",Tableau_TimeSeries!$A:$A,"XV",Tableau_TimeSeries!$C:$C,2025))</f>
        <v>120.4725</v>
      </c>
      <c r="H14" s="36" t="n">
        <f aca="false">SUMIFS(Tableau_TimeSeries!$F:$F,Tableau_TimeSeries!$A:$A,"XV",Tableau_TimeSeries!$C:$C,2019)</f>
        <v>19830</v>
      </c>
      <c r="I14" s="27" t="n">
        <f aca="false">D14/H14*100</f>
        <v>138.391326273323</v>
      </c>
      <c r="J14" s="27" t="n">
        <f aca="false">E14/SUMIFS(Tableau_TimeSeries!$G:$G,Tableau_TimeSeries!$A:$A,"XV",Tableau_TimeSeries!$C:$C,2019)*100</f>
        <v>132.666509767004</v>
      </c>
      <c r="K14" s="27" t="n">
        <f aca="false">D14/(D14+E14)*100</f>
        <v>30.6797093348239</v>
      </c>
    </row>
    <row r="15" customFormat="false" ht="21.75" hidden="false" customHeight="true" outlineLevel="0" collapsed="false">
      <c r="A15" s="26" t="s">
        <v>22</v>
      </c>
      <c r="B15" s="26" t="s">
        <v>23</v>
      </c>
      <c r="C15" s="26" t="s">
        <v>18</v>
      </c>
      <c r="D15" s="36" t="n">
        <f aca="false">SUMIFS(Tableau_TimeSeries!$F:$F,Tableau_TimeSeries!$A:$A,"I",Tableau_TimeSeries!$C:$C,2024,Tableau_TimeSeries!$D:$D,"Q4")+SUMIFS(Tableau_TimeSeries!$F:$F,Tableau_TimeSeries!$A:$A,"I",Tableau_TimeSeries!$C:$C,2025)</f>
        <v>28257</v>
      </c>
      <c r="E15" s="36" t="n">
        <f aca="false">SUMIFS(Tableau_TimeSeries!$G:$G,Tableau_TimeSeries!$A:$A,"I",Tableau_TimeSeries!$C:$C,2024,Tableau_TimeSeries!$D:$D,"Q4")+SUMIFS(Tableau_TimeSeries!$G:$G,Tableau_TimeSeries!$A:$A,"I",Tableau_TimeSeries!$C:$C,2025)</f>
        <v>58128</v>
      </c>
      <c r="F15" s="27" t="n">
        <f aca="false">(SUMIFS(Tableau_TimeSeries!$I:$I,Tableau_TimeSeries!$A:$A,"I",Tableau_TimeSeries!$C:$C,2024,Tableau_TimeSeries!$D:$D,"Q4")+SUMIFS(Tableau_TimeSeries!$I:$I,Tableau_TimeSeries!$A:$A,"I",Tableau_TimeSeries!$C:$C,2025))/(COUNTIFS(Tableau_TimeSeries!$I:$I,"&lt;&gt;",Tableau_TimeSeries!$A:$A,"I",Tableau_TimeSeries!$C:$C,2024,Tableau_TimeSeries!$D:$D,"Q4")+COUNTIFS(Tableau_TimeSeries!$I:$I,"&lt;&gt;",Tableau_TimeSeries!$A:$A,"I",Tableau_TimeSeries!$C:$C,2025))</f>
        <v>57.15</v>
      </c>
      <c r="G15" s="27" t="n">
        <f aca="false">(SUMIFS(Tableau_TimeSeries!$H:$H,Tableau_TimeSeries!$A:$A,"I",Tableau_TimeSeries!$C:$C,2024,Tableau_TimeSeries!$D:$D,"Q4")+SUMIFS(Tableau_TimeSeries!$H:$H,Tableau_TimeSeries!$A:$A,"I",Tableau_TimeSeries!$C:$C,2025))/(COUNTIFS(Tableau_TimeSeries!$H:$H,"&lt;&gt;",Tableau_TimeSeries!$A:$A,"I",Tableau_TimeSeries!$C:$C,2024,Tableau_TimeSeries!$D:$D,"Q4")+COUNTIFS(Tableau_TimeSeries!$H:$H,"&lt;&gt;",Tableau_TimeSeries!$A:$A,"I",Tableau_TimeSeries!$C:$C,2025))</f>
        <v>117.5975</v>
      </c>
      <c r="H15" s="36" t="n">
        <f aca="false">SUMIFS(Tableau_TimeSeries!$F:$F,Tableau_TimeSeries!$A:$A,"I",Tableau_TimeSeries!$C:$C,2019)</f>
        <v>19089</v>
      </c>
      <c r="I15" s="27" t="n">
        <f aca="false">D15/H15*100</f>
        <v>148.027659908848</v>
      </c>
      <c r="J15" s="27" t="n">
        <f aca="false">E15/SUMIFS(Tableau_TimeSeries!$G:$G,Tableau_TimeSeries!$A:$A,"I",Tableau_TimeSeries!$C:$C,2019)*100</f>
        <v>114.375664082484</v>
      </c>
      <c r="K15" s="27" t="n">
        <f aca="false">D15/(D15+E15)*100</f>
        <v>32.7105400243098</v>
      </c>
    </row>
    <row r="16" customFormat="false" ht="21.75" hidden="false" customHeight="true" outlineLevel="0" collapsed="false">
      <c r="A16" s="26" t="s">
        <v>27</v>
      </c>
      <c r="B16" s="26" t="s">
        <v>28</v>
      </c>
      <c r="C16" s="26" t="s">
        <v>29</v>
      </c>
      <c r="D16" s="36" t="n">
        <f aca="false">SUMIFS(Tableau_TimeSeries!$F:$F,Tableau_TimeSeries!$A:$A,"II",Tableau_TimeSeries!$C:$C,2024,Tableau_TimeSeries!$D:$D,"Q4")+SUMIFS(Tableau_TimeSeries!$F:$F,Tableau_TimeSeries!$A:$A,"II",Tableau_TimeSeries!$C:$C,2025)</f>
        <v>42832</v>
      </c>
      <c r="E16" s="36" t="n">
        <f aca="false">SUMIFS(Tableau_TimeSeries!$G:$G,Tableau_TimeSeries!$A:$A,"II",Tableau_TimeSeries!$C:$C,2024,Tableau_TimeSeries!$D:$D,"Q4")+SUMIFS(Tableau_TimeSeries!$G:$G,Tableau_TimeSeries!$A:$A,"II",Tableau_TimeSeries!$C:$C,2025)</f>
        <v>96553</v>
      </c>
      <c r="F16" s="27" t="n">
        <f aca="false">(SUMIFS(Tableau_TimeSeries!$I:$I,Tableau_TimeSeries!$A:$A,"II",Tableau_TimeSeries!$C:$C,2024,Tableau_TimeSeries!$D:$D,"Q4")+SUMIFS(Tableau_TimeSeries!$I:$I,Tableau_TimeSeries!$A:$A,"II",Tableau_TimeSeries!$C:$C,2025))/(COUNTIFS(Tableau_TimeSeries!$I:$I,"&lt;&gt;",Tableau_TimeSeries!$A:$A,"II",Tableau_TimeSeries!$C:$C,2024,Tableau_TimeSeries!$D:$D,"Q4")+COUNTIFS(Tableau_TimeSeries!$I:$I,"&lt;&gt;",Tableau_TimeSeries!$A:$A,"II",Tableau_TimeSeries!$C:$C,2025))</f>
        <v>54.2</v>
      </c>
      <c r="G16" s="27" t="n">
        <f aca="false">(SUMIFS(Tableau_TimeSeries!$H:$H,Tableau_TimeSeries!$A:$A,"II",Tableau_TimeSeries!$C:$C,2024,Tableau_TimeSeries!$D:$D,"Q4")+SUMIFS(Tableau_TimeSeries!$H:$H,Tableau_TimeSeries!$A:$A,"II",Tableau_TimeSeries!$C:$C,2025))/(COUNTIFS(Tableau_TimeSeries!$H:$H,"&lt;&gt;",Tableau_TimeSeries!$A:$A,"II",Tableau_TimeSeries!$C:$C,2024,Tableau_TimeSeries!$D:$D,"Q4")+COUNTIFS(Tableau_TimeSeries!$H:$H,"&lt;&gt;",Tableau_TimeSeries!$A:$A,"II",Tableau_TimeSeries!$C:$C,2025))</f>
        <v>121.5225</v>
      </c>
      <c r="H16" s="36" t="n">
        <f aca="false">SUMIFS(Tableau_TimeSeries!$F:$F,Tableau_TimeSeries!$A:$A,"II",Tableau_TimeSeries!$C:$C,2019)</f>
        <v>33755</v>
      </c>
      <c r="I16" s="27" t="n">
        <f aca="false">D16/H16*100</f>
        <v>126.890830988002</v>
      </c>
      <c r="J16" s="27" t="n">
        <f aca="false">E16/SUMIFS(Tableau_TimeSeries!$G:$G,Tableau_TimeSeries!$A:$A,"II",Tableau_TimeSeries!$C:$C,2019)*100</f>
        <v>120.361759682868</v>
      </c>
      <c r="K16" s="27" t="n">
        <f aca="false">D16/(D16+E16)*100</f>
        <v>30.7292750295943</v>
      </c>
    </row>
    <row r="17" customFormat="false" ht="21.75" hidden="false" customHeight="true" outlineLevel="0" collapsed="false">
      <c r="A17" s="26" t="s">
        <v>31</v>
      </c>
      <c r="B17" s="26" t="s">
        <v>32</v>
      </c>
      <c r="C17" s="26" t="s">
        <v>29</v>
      </c>
      <c r="D17" s="36" t="n">
        <f aca="false">SUMIFS(Tableau_TimeSeries!$F:$F,Tableau_TimeSeries!$A:$A,"III",Tableau_TimeSeries!$C:$C,2024,Tableau_TimeSeries!$D:$D,"Q4")+SUMIFS(Tableau_TimeSeries!$F:$F,Tableau_TimeSeries!$A:$A,"III",Tableau_TimeSeries!$C:$C,2025)</f>
        <v>34383</v>
      </c>
      <c r="E17" s="36" t="n">
        <f aca="false">SUMIFS(Tableau_TimeSeries!$G:$G,Tableau_TimeSeries!$A:$A,"III",Tableau_TimeSeries!$C:$C,2024,Tableau_TimeSeries!$D:$D,"Q4")+SUMIFS(Tableau_TimeSeries!$G:$G,Tableau_TimeSeries!$A:$A,"III",Tableau_TimeSeries!$C:$C,2025)</f>
        <v>75620</v>
      </c>
      <c r="F17" s="27" t="n">
        <f aca="false">(SUMIFS(Tableau_TimeSeries!$I:$I,Tableau_TimeSeries!$A:$A,"III",Tableau_TimeSeries!$C:$C,2024,Tableau_TimeSeries!$D:$D,"Q4")+SUMIFS(Tableau_TimeSeries!$I:$I,Tableau_TimeSeries!$A:$A,"III",Tableau_TimeSeries!$C:$C,2025))/(COUNTIFS(Tableau_TimeSeries!$I:$I,"&lt;&gt;",Tableau_TimeSeries!$A:$A,"III",Tableau_TimeSeries!$C:$C,2024,Tableau_TimeSeries!$D:$D,"Q4")+COUNTIFS(Tableau_TimeSeries!$I:$I,"&lt;&gt;",Tableau_TimeSeries!$A:$A,"III",Tableau_TimeSeries!$C:$C,2025))</f>
        <v>57.35</v>
      </c>
      <c r="G17" s="27" t="n">
        <f aca="false">(SUMIFS(Tableau_TimeSeries!$H:$H,Tableau_TimeSeries!$A:$A,"III",Tableau_TimeSeries!$C:$C,2024,Tableau_TimeSeries!$D:$D,"Q4")+SUMIFS(Tableau_TimeSeries!$H:$H,Tableau_TimeSeries!$A:$A,"III",Tableau_TimeSeries!$C:$C,2025))/(COUNTIFS(Tableau_TimeSeries!$H:$H,"&lt;&gt;",Tableau_TimeSeries!$A:$A,"III",Tableau_TimeSeries!$C:$C,2024,Tableau_TimeSeries!$D:$D,"Q4")+COUNTIFS(Tableau_TimeSeries!$H:$H,"&lt;&gt;",Tableau_TimeSeries!$A:$A,"III",Tableau_TimeSeries!$C:$C,2025))</f>
        <v>121.285</v>
      </c>
      <c r="H17" s="36" t="n">
        <f aca="false">SUMIFS(Tableau_TimeSeries!$F:$F,Tableau_TimeSeries!$A:$A,"III",Tableau_TimeSeries!$C:$C,2019)</f>
        <v>24877</v>
      </c>
      <c r="I17" s="27" t="n">
        <f aca="false">D17/H17*100</f>
        <v>138.212003055031</v>
      </c>
      <c r="J17" s="27" t="n">
        <f aca="false">E17/SUMIFS(Tableau_TimeSeries!$G:$G,Tableau_TimeSeries!$A:$A,"III",Tableau_TimeSeries!$C:$C,2019)*100</f>
        <v>117.87629380222</v>
      </c>
      <c r="K17" s="27" t="n">
        <f aca="false">D17/(D17+E17)*100</f>
        <v>31.2564202794469</v>
      </c>
    </row>
    <row r="18" customFormat="false" ht="21.75" hidden="false" customHeight="true" outlineLevel="0" collapsed="false">
      <c r="A18" s="26" t="s">
        <v>35</v>
      </c>
      <c r="B18" s="32" t="s">
        <v>36</v>
      </c>
      <c r="C18" s="26" t="s">
        <v>37</v>
      </c>
      <c r="D18" s="36" t="n">
        <f aca="false">SUMIFS(Tableau_TimeSeries!$F:$F,Tableau_TimeSeries!$A:$A,"IV",Tableau_TimeSeries!$C:$C,2024,Tableau_TimeSeries!$D:$D,"Q4")+SUMIFS(Tableau_TimeSeries!$F:$F,Tableau_TimeSeries!$A:$A,"IV",Tableau_TimeSeries!$C:$C,2025)</f>
        <v>46864</v>
      </c>
      <c r="E18" s="36" t="n">
        <f aca="false">SUMIFS(Tableau_TimeSeries!$G:$G,Tableau_TimeSeries!$A:$A,"IV",Tableau_TimeSeries!$C:$C,2024,Tableau_TimeSeries!$D:$D,"Q4")+SUMIFS(Tableau_TimeSeries!$G:$G,Tableau_TimeSeries!$A:$A,"IV",Tableau_TimeSeries!$C:$C,2025)</f>
        <v>92537</v>
      </c>
      <c r="F18" s="27" t="n">
        <f aca="false">(SUMIFS(Tableau_TimeSeries!$I:$I,Tableau_TimeSeries!$A:$A,"IV",Tableau_TimeSeries!$C:$C,2024,Tableau_TimeSeries!$D:$D,"Q4")+SUMIFS(Tableau_TimeSeries!$I:$I,Tableau_TimeSeries!$A:$A,"IV",Tableau_TimeSeries!$C:$C,2025))/(COUNTIFS(Tableau_TimeSeries!$I:$I,"&lt;&gt;",Tableau_TimeSeries!$A:$A,"IV",Tableau_TimeSeries!$C:$C,2024,Tableau_TimeSeries!$D:$D,"Q4")+COUNTIFS(Tableau_TimeSeries!$I:$I,"&lt;&gt;",Tableau_TimeSeries!$A:$A,"IV",Tableau_TimeSeries!$C:$C,2025))</f>
        <v>61.475</v>
      </c>
      <c r="G18" s="27" t="n">
        <f aca="false">(SUMIFS(Tableau_TimeSeries!$H:$H,Tableau_TimeSeries!$A:$A,"IV",Tableau_TimeSeries!$C:$C,2024,Tableau_TimeSeries!$D:$D,"Q4")+SUMIFS(Tableau_TimeSeries!$H:$H,Tableau_TimeSeries!$A:$A,"IV",Tableau_TimeSeries!$C:$C,2025))/(COUNTIFS(Tableau_TimeSeries!$H:$H,"&lt;&gt;",Tableau_TimeSeries!$A:$A,"IV",Tableau_TimeSeries!$C:$C,2024,Tableau_TimeSeries!$D:$D,"Q4")+COUNTIFS(Tableau_TimeSeries!$H:$H,"&lt;&gt;",Tableau_TimeSeries!$A:$A,"IV",Tableau_TimeSeries!$C:$C,2025))</f>
        <v>132.575</v>
      </c>
      <c r="H18" s="36" t="n">
        <f aca="false">SUMIFS(Tableau_TimeSeries!$F:$F,Tableau_TimeSeries!$A:$A,"IV",Tableau_TimeSeries!$C:$C,2019)</f>
        <v>29596</v>
      </c>
      <c r="I18" s="27" t="n">
        <f aca="false">D18/H18*100</f>
        <v>158.345722394918</v>
      </c>
      <c r="J18" s="27" t="n">
        <f aca="false">E18/SUMIFS(Tableau_TimeSeries!$G:$G,Tableau_TimeSeries!$A:$A,"IV",Tableau_TimeSeries!$C:$C,2019)*100</f>
        <v>125.127782134841</v>
      </c>
      <c r="K18" s="27" t="n">
        <f aca="false">D18/(D18+E18)*100</f>
        <v>33.6181232559307</v>
      </c>
    </row>
    <row r="19" customFormat="false" ht="21.75" hidden="false" customHeight="true" outlineLevel="0" collapsed="false">
      <c r="A19" s="26" t="s">
        <v>39</v>
      </c>
      <c r="B19" s="26" t="s">
        <v>40</v>
      </c>
      <c r="C19" s="26" t="s">
        <v>37</v>
      </c>
      <c r="D19" s="36" t="n">
        <f aca="false">SUMIFS(Tableau_TimeSeries!$F:$F,Tableau_TimeSeries!$A:$A,"V",Tableau_TimeSeries!$C:$C,2024,Tableau_TimeSeries!$D:$D,"Q4")+SUMIFS(Tableau_TimeSeries!$F:$F,Tableau_TimeSeries!$A:$A,"V",Tableau_TimeSeries!$C:$C,2025)</f>
        <v>83544</v>
      </c>
      <c r="E19" s="36" t="n">
        <f aca="false">SUMIFS(Tableau_TimeSeries!$G:$G,Tableau_TimeSeries!$A:$A,"V",Tableau_TimeSeries!$C:$C,2024,Tableau_TimeSeries!$D:$D,"Q4")+SUMIFS(Tableau_TimeSeries!$G:$G,Tableau_TimeSeries!$A:$A,"V",Tableau_TimeSeries!$C:$C,2025)</f>
        <v>189639</v>
      </c>
      <c r="F19" s="27" t="n">
        <f aca="false">(SUMIFS(Tableau_TimeSeries!$I:$I,Tableau_TimeSeries!$A:$A,"V",Tableau_TimeSeries!$C:$C,2024,Tableau_TimeSeries!$D:$D,"Q4")+SUMIFS(Tableau_TimeSeries!$I:$I,Tableau_TimeSeries!$A:$A,"V",Tableau_TimeSeries!$C:$C,2025))/(COUNTIFS(Tableau_TimeSeries!$I:$I,"&lt;&gt;",Tableau_TimeSeries!$A:$A,"V",Tableau_TimeSeries!$C:$C,2024,Tableau_TimeSeries!$D:$D,"Q4")+COUNTIFS(Tableau_TimeSeries!$I:$I,"&lt;&gt;",Tableau_TimeSeries!$A:$A,"V",Tableau_TimeSeries!$C:$C,2025))</f>
        <v>64.325</v>
      </c>
      <c r="G19" s="27" t="n">
        <f aca="false">(SUMIFS(Tableau_TimeSeries!$H:$H,Tableau_TimeSeries!$A:$A,"V",Tableau_TimeSeries!$C:$C,2024,Tableau_TimeSeries!$D:$D,"Q4")+SUMIFS(Tableau_TimeSeries!$H:$H,Tableau_TimeSeries!$A:$A,"V",Tableau_TimeSeries!$C:$C,2025))/(COUNTIFS(Tableau_TimeSeries!$H:$H,"&lt;&gt;",Tableau_TimeSeries!$A:$A,"V",Tableau_TimeSeries!$C:$C,2024,Tableau_TimeSeries!$D:$D,"Q4")+COUNTIFS(Tableau_TimeSeries!$H:$H,"&lt;&gt;",Tableau_TimeSeries!$A:$A,"V",Tableau_TimeSeries!$C:$C,2025))</f>
        <v>135.7025</v>
      </c>
      <c r="H19" s="36" t="n">
        <f aca="false">SUMIFS(Tableau_TimeSeries!$F:$F,Tableau_TimeSeries!$A:$A,"V",Tableau_TimeSeries!$C:$C,2019)</f>
        <v>64881</v>
      </c>
      <c r="I19" s="27" t="n">
        <f aca="false">D19/H19*100</f>
        <v>128.764969713784</v>
      </c>
      <c r="J19" s="27" t="n">
        <f aca="false">E19/SUMIFS(Tableau_TimeSeries!$G:$G,Tableau_TimeSeries!$A:$A,"V",Tableau_TimeSeries!$C:$C,2019)*100</f>
        <v>122.920312682301</v>
      </c>
      <c r="K19" s="27" t="n">
        <f aca="false">D19/(D19+E19)*100</f>
        <v>30.581697982671</v>
      </c>
    </row>
    <row r="20" customFormat="false" ht="21.75" hidden="false" customHeight="true" outlineLevel="0" collapsed="false">
      <c r="A20" s="26" t="s">
        <v>42</v>
      </c>
      <c r="B20" s="26" t="s">
        <v>43</v>
      </c>
      <c r="C20" s="26" t="s">
        <v>37</v>
      </c>
      <c r="D20" s="36" t="n">
        <f aca="false">SUMIFS(Tableau_TimeSeries!$F:$F,Tableau_TimeSeries!$A:$A,"RM",Tableau_TimeSeries!$C:$C,2024,Tableau_TimeSeries!$D:$D,"Q4")+SUMIFS(Tableau_TimeSeries!$F:$F,Tableau_TimeSeries!$A:$A,"RM",Tableau_TimeSeries!$C:$C,2025)</f>
        <v>165173</v>
      </c>
      <c r="E20" s="36" t="n">
        <f aca="false">SUMIFS(Tableau_TimeSeries!$G:$G,Tableau_TimeSeries!$A:$A,"RM",Tableau_TimeSeries!$C:$C,2024,Tableau_TimeSeries!$D:$D,"Q4")+SUMIFS(Tableau_TimeSeries!$G:$G,Tableau_TimeSeries!$A:$A,"RM",Tableau_TimeSeries!$C:$C,2025)</f>
        <v>310477</v>
      </c>
      <c r="F20" s="27" t="n">
        <f aca="false">(SUMIFS(Tableau_TimeSeries!$I:$I,Tableau_TimeSeries!$A:$A,"RM",Tableau_TimeSeries!$C:$C,2024,Tableau_TimeSeries!$D:$D,"Q4")+SUMIFS(Tableau_TimeSeries!$I:$I,Tableau_TimeSeries!$A:$A,"RM",Tableau_TimeSeries!$C:$C,2025))/(COUNTIFS(Tableau_TimeSeries!$I:$I,"&lt;&gt;",Tableau_TimeSeries!$A:$A,"RM",Tableau_TimeSeries!$C:$C,2024,Tableau_TimeSeries!$D:$D,"Q4")+COUNTIFS(Tableau_TimeSeries!$I:$I,"&lt;&gt;",Tableau_TimeSeries!$A:$A,"RM",Tableau_TimeSeries!$C:$C,2025))</f>
        <v>62</v>
      </c>
      <c r="G20" s="27" t="n">
        <f aca="false">(SUMIFS(Tableau_TimeSeries!$H:$H,Tableau_TimeSeries!$A:$A,"RM",Tableau_TimeSeries!$C:$C,2024,Tableau_TimeSeries!$D:$D,"Q4")+SUMIFS(Tableau_TimeSeries!$H:$H,Tableau_TimeSeries!$A:$A,"RM",Tableau_TimeSeries!$C:$C,2025))/(COUNTIFS(Tableau_TimeSeries!$H:$H,"&lt;&gt;",Tableau_TimeSeries!$A:$A,"RM",Tableau_TimeSeries!$C:$C,2024,Tableau_TimeSeries!$D:$D,"Q4")+COUNTIFS(Tableau_TimeSeries!$H:$H,"&lt;&gt;",Tableau_TimeSeries!$A:$A,"RM",Tableau_TimeSeries!$C:$C,2025))</f>
        <v>177.9475</v>
      </c>
      <c r="H20" s="36" t="n">
        <f aca="false">SUMIFS(Tableau_TimeSeries!$F:$F,Tableau_TimeSeries!$A:$A,"RM",Tableau_TimeSeries!$C:$C,2019)</f>
        <v>94539</v>
      </c>
      <c r="I20" s="37" t="n">
        <f aca="false">D20/H20*100</f>
        <v>174.714139138345</v>
      </c>
      <c r="J20" s="27" t="n">
        <f aca="false">E20/SUMIFS(Tableau_TimeSeries!$G:$G,Tableau_TimeSeries!$A:$A,"RM",Tableau_TimeSeries!$C:$C,2019)*100</f>
        <v>134.593825999124</v>
      </c>
      <c r="K20" s="27" t="n">
        <f aca="false">D20/(D20+E20)*100</f>
        <v>34.7257437191212</v>
      </c>
    </row>
    <row r="21" customFormat="false" ht="21.75" hidden="false" customHeight="true" outlineLevel="0" collapsed="false">
      <c r="A21" s="26" t="s">
        <v>46</v>
      </c>
      <c r="B21" s="32" t="s">
        <v>47</v>
      </c>
      <c r="C21" s="26" t="s">
        <v>29</v>
      </c>
      <c r="D21" s="36" t="n">
        <f aca="false">SUMIFS(Tableau_TimeSeries!$F:$F,Tableau_TimeSeries!$A:$A,"VI",Tableau_TimeSeries!$C:$C,2024,Tableau_TimeSeries!$D:$D,"Q4")+SUMIFS(Tableau_TimeSeries!$F:$F,Tableau_TimeSeries!$A:$A,"VI",Tableau_TimeSeries!$C:$C,2025)</f>
        <v>25232</v>
      </c>
      <c r="E21" s="36" t="n">
        <f aca="false">SUMIFS(Tableau_TimeSeries!$G:$G,Tableau_TimeSeries!$A:$A,"VI",Tableau_TimeSeries!$C:$C,2024,Tableau_TimeSeries!$D:$D,"Q4")+SUMIFS(Tableau_TimeSeries!$G:$G,Tableau_TimeSeries!$A:$A,"VI",Tableau_TimeSeries!$C:$C,2025)</f>
        <v>54933</v>
      </c>
      <c r="F21" s="27" t="n">
        <f aca="false">(SUMIFS(Tableau_TimeSeries!$I:$I,Tableau_TimeSeries!$A:$A,"VI",Tableau_TimeSeries!$C:$C,2024,Tableau_TimeSeries!$D:$D,"Q4")+SUMIFS(Tableau_TimeSeries!$I:$I,Tableau_TimeSeries!$A:$A,"VI",Tableau_TimeSeries!$C:$C,2025))/(COUNTIFS(Tableau_TimeSeries!$I:$I,"&lt;&gt;",Tableau_TimeSeries!$A:$A,"VI",Tableau_TimeSeries!$C:$C,2024,Tableau_TimeSeries!$D:$D,"Q4")+COUNTIFS(Tableau_TimeSeries!$I:$I,"&lt;&gt;",Tableau_TimeSeries!$A:$A,"VI",Tableau_TimeSeries!$C:$C,2025))</f>
        <v>58.25</v>
      </c>
      <c r="G21" s="27" t="n">
        <f aca="false">(SUMIFS(Tableau_TimeSeries!$H:$H,Tableau_TimeSeries!$A:$A,"VI",Tableau_TimeSeries!$C:$C,2024,Tableau_TimeSeries!$D:$D,"Q4")+SUMIFS(Tableau_TimeSeries!$H:$H,Tableau_TimeSeries!$A:$A,"VI",Tableau_TimeSeries!$C:$C,2025))/(COUNTIFS(Tableau_TimeSeries!$H:$H,"&lt;&gt;",Tableau_TimeSeries!$A:$A,"VI",Tableau_TimeSeries!$C:$C,2024,Tableau_TimeSeries!$D:$D,"Q4")+COUNTIFS(Tableau_TimeSeries!$H:$H,"&lt;&gt;",Tableau_TimeSeries!$A:$A,"VI",Tableau_TimeSeries!$C:$C,2025))</f>
        <v>105.1225</v>
      </c>
      <c r="H21" s="36" t="n">
        <f aca="false">SUMIFS(Tableau_TimeSeries!$F:$F,Tableau_TimeSeries!$A:$A,"VI",Tableau_TimeSeries!$C:$C,2019)</f>
        <v>20633</v>
      </c>
      <c r="I21" s="27" t="n">
        <f aca="false">D21/H21*100</f>
        <v>122.289536179906</v>
      </c>
      <c r="J21" s="27" t="n">
        <f aca="false">E21/SUMIFS(Tableau_TimeSeries!$G:$G,Tableau_TimeSeries!$A:$A,"VI",Tableau_TimeSeries!$C:$C,2019)*100</f>
        <v>114.189203234457</v>
      </c>
      <c r="K21" s="27" t="n">
        <f aca="false">D21/(D21+E21)*100</f>
        <v>31.4750826420508</v>
      </c>
    </row>
    <row r="22" customFormat="false" ht="21.75" hidden="false" customHeight="true" outlineLevel="0" collapsed="false">
      <c r="A22" s="26" t="s">
        <v>50</v>
      </c>
      <c r="B22" s="32" t="s">
        <v>51</v>
      </c>
      <c r="C22" s="26" t="s">
        <v>29</v>
      </c>
      <c r="D22" s="36" t="n">
        <f aca="false">SUMIFS(Tableau_TimeSeries!$F:$F,Tableau_TimeSeries!$A:$A,"VII",Tableau_TimeSeries!$C:$C,2024,Tableau_TimeSeries!$D:$D,"Q4")+SUMIFS(Tableau_TimeSeries!$F:$F,Tableau_TimeSeries!$A:$A,"VII",Tableau_TimeSeries!$C:$C,2025)</f>
        <v>34396</v>
      </c>
      <c r="E22" s="36" t="n">
        <f aca="false">SUMIFS(Tableau_TimeSeries!$G:$G,Tableau_TimeSeries!$A:$A,"VII",Tableau_TimeSeries!$C:$C,2024,Tableau_TimeSeries!$D:$D,"Q4")+SUMIFS(Tableau_TimeSeries!$G:$G,Tableau_TimeSeries!$A:$A,"VII",Tableau_TimeSeries!$C:$C,2025)</f>
        <v>73670</v>
      </c>
      <c r="F22" s="27" t="n">
        <f aca="false">(SUMIFS(Tableau_TimeSeries!$I:$I,Tableau_TimeSeries!$A:$A,"VII",Tableau_TimeSeries!$C:$C,2024,Tableau_TimeSeries!$D:$D,"Q4")+SUMIFS(Tableau_TimeSeries!$I:$I,Tableau_TimeSeries!$A:$A,"VII",Tableau_TimeSeries!$C:$C,2025))/(COUNTIFS(Tableau_TimeSeries!$I:$I,"&lt;&gt;",Tableau_TimeSeries!$A:$A,"VII",Tableau_TimeSeries!$C:$C,2024,Tableau_TimeSeries!$D:$D,"Q4")+COUNTIFS(Tableau_TimeSeries!$I:$I,"&lt;&gt;",Tableau_TimeSeries!$A:$A,"VII",Tableau_TimeSeries!$C:$C,2025))</f>
        <v>62.75</v>
      </c>
      <c r="G22" s="27" t="n">
        <f aca="false">(SUMIFS(Tableau_TimeSeries!$H:$H,Tableau_TimeSeries!$A:$A,"VII",Tableau_TimeSeries!$C:$C,2024,Tableau_TimeSeries!$D:$D,"Q4")+SUMIFS(Tableau_TimeSeries!$H:$H,Tableau_TimeSeries!$A:$A,"VII",Tableau_TimeSeries!$C:$C,2025))/(COUNTIFS(Tableau_TimeSeries!$H:$H,"&lt;&gt;",Tableau_TimeSeries!$A:$A,"VII",Tableau_TimeSeries!$C:$C,2024,Tableau_TimeSeries!$D:$D,"Q4")+COUNTIFS(Tableau_TimeSeries!$H:$H,"&lt;&gt;",Tableau_TimeSeries!$A:$A,"VII",Tableau_TimeSeries!$C:$C,2025))</f>
        <v>159.355</v>
      </c>
      <c r="H22" s="36" t="n">
        <f aca="false">SUMIFS(Tableau_TimeSeries!$F:$F,Tableau_TimeSeries!$A:$A,"VII",Tableau_TimeSeries!$C:$C,2019)</f>
        <v>21817</v>
      </c>
      <c r="I22" s="27" t="n">
        <f aca="false">D22/H22*100</f>
        <v>157.656873080625</v>
      </c>
      <c r="J22" s="27" t="n">
        <f aca="false">E22/SUMIFS(Tableau_TimeSeries!$G:$G,Tableau_TimeSeries!$A:$A,"VII",Tableau_TimeSeries!$C:$C,2019)*100</f>
        <v>133.161015110983</v>
      </c>
      <c r="K22" s="27" t="n">
        <f aca="false">D22/(D22+E22)*100</f>
        <v>31.8286972775896</v>
      </c>
    </row>
    <row r="23" customFormat="false" ht="21.75" hidden="false" customHeight="true" outlineLevel="0" collapsed="false">
      <c r="A23" s="26" t="s">
        <v>53</v>
      </c>
      <c r="B23" s="26" t="s">
        <v>54</v>
      </c>
      <c r="C23" s="26" t="s">
        <v>29</v>
      </c>
      <c r="D23" s="36" t="n">
        <f aca="false">SUMIFS(Tableau_TimeSeries!$F:$F,Tableau_TimeSeries!$A:$A,"VIII",Tableau_TimeSeries!$C:$C,2024,Tableau_TimeSeries!$D:$D,"Q4")+SUMIFS(Tableau_TimeSeries!$F:$F,Tableau_TimeSeries!$A:$A,"VIII",Tableau_TimeSeries!$C:$C,2025)</f>
        <v>46785</v>
      </c>
      <c r="E23" s="36" t="n">
        <f aca="false">SUMIFS(Tableau_TimeSeries!$G:$G,Tableau_TimeSeries!$A:$A,"VIII",Tableau_TimeSeries!$C:$C,2024,Tableau_TimeSeries!$D:$D,"Q4")+SUMIFS(Tableau_TimeSeries!$G:$G,Tableau_TimeSeries!$A:$A,"VIII",Tableau_TimeSeries!$C:$C,2025)</f>
        <v>97803</v>
      </c>
      <c r="F23" s="27" t="n">
        <f aca="false">(SUMIFS(Tableau_TimeSeries!$I:$I,Tableau_TimeSeries!$A:$A,"VIII",Tableau_TimeSeries!$C:$C,2024,Tableau_TimeSeries!$D:$D,"Q4")+SUMIFS(Tableau_TimeSeries!$I:$I,Tableau_TimeSeries!$A:$A,"VIII",Tableau_TimeSeries!$C:$C,2025))/(COUNTIFS(Tableau_TimeSeries!$I:$I,"&lt;&gt;",Tableau_TimeSeries!$A:$A,"VIII",Tableau_TimeSeries!$C:$C,2024,Tableau_TimeSeries!$D:$D,"Q4")+COUNTIFS(Tableau_TimeSeries!$I:$I,"&lt;&gt;",Tableau_TimeSeries!$A:$A,"VIII",Tableau_TimeSeries!$C:$C,2025))</f>
        <v>54.35</v>
      </c>
      <c r="G23" s="27" t="n">
        <f aca="false">(SUMIFS(Tableau_TimeSeries!$H:$H,Tableau_TimeSeries!$A:$A,"VIII",Tableau_TimeSeries!$C:$C,2024,Tableau_TimeSeries!$D:$D,"Q4")+SUMIFS(Tableau_TimeSeries!$H:$H,Tableau_TimeSeries!$A:$A,"VIII",Tableau_TimeSeries!$C:$C,2025))/(COUNTIFS(Tableau_TimeSeries!$H:$H,"&lt;&gt;",Tableau_TimeSeries!$A:$A,"VIII",Tableau_TimeSeries!$C:$C,2024,Tableau_TimeSeries!$D:$D,"Q4")+COUNTIFS(Tableau_TimeSeries!$H:$H,"&lt;&gt;",Tableau_TimeSeries!$A:$A,"VIII",Tableau_TimeSeries!$C:$C,2025))</f>
        <v>128.78</v>
      </c>
      <c r="H23" s="36" t="n">
        <f aca="false">SUMIFS(Tableau_TimeSeries!$F:$F,Tableau_TimeSeries!$A:$A,"VIII",Tableau_TimeSeries!$C:$C,2019)</f>
        <v>30992</v>
      </c>
      <c r="I23" s="27" t="n">
        <f aca="false">D23/H23*100</f>
        <v>150.958311822406</v>
      </c>
      <c r="J23" s="27" t="n">
        <f aca="false">E23/SUMIFS(Tableau_TimeSeries!$G:$G,Tableau_TimeSeries!$A:$A,"VIII",Tableau_TimeSeries!$C:$C,2019)*100</f>
        <v>127.028431156079</v>
      </c>
      <c r="K23" s="27" t="n">
        <f aca="false">D23/(D23+E23)*100</f>
        <v>32.3574570503776</v>
      </c>
    </row>
    <row r="24" customFormat="false" ht="21.75" hidden="false" customHeight="true" outlineLevel="0" collapsed="false">
      <c r="A24" s="26" t="s">
        <v>55</v>
      </c>
      <c r="B24" s="26" t="s">
        <v>56</v>
      </c>
      <c r="C24" s="26" t="s">
        <v>29</v>
      </c>
      <c r="D24" s="36" t="n">
        <f aca="false">SUMIFS(Tableau_TimeSeries!$F:$F,Tableau_TimeSeries!$A:$A,"IX",Tableau_TimeSeries!$C:$C,2024,Tableau_TimeSeries!$D:$D,"Q4")+SUMIFS(Tableau_TimeSeries!$F:$F,Tableau_TimeSeries!$A:$A,"IX",Tableau_TimeSeries!$C:$C,2025)</f>
        <v>52059</v>
      </c>
      <c r="E24" s="36" t="n">
        <f aca="false">SUMIFS(Tableau_TimeSeries!$G:$G,Tableau_TimeSeries!$A:$A,"IX",Tableau_TimeSeries!$C:$C,2024,Tableau_TimeSeries!$D:$D,"Q4")+SUMIFS(Tableau_TimeSeries!$G:$G,Tableau_TimeSeries!$A:$A,"IX",Tableau_TimeSeries!$C:$C,2025)</f>
        <v>111387</v>
      </c>
      <c r="F24" s="27" t="n">
        <f aca="false">(SUMIFS(Tableau_TimeSeries!$I:$I,Tableau_TimeSeries!$A:$A,"IX",Tableau_TimeSeries!$C:$C,2024,Tableau_TimeSeries!$D:$D,"Q4")+SUMIFS(Tableau_TimeSeries!$I:$I,Tableau_TimeSeries!$A:$A,"IX",Tableau_TimeSeries!$C:$C,2025))/(COUNTIFS(Tableau_TimeSeries!$I:$I,"&lt;&gt;",Tableau_TimeSeries!$A:$A,"IX",Tableau_TimeSeries!$C:$C,2024,Tableau_TimeSeries!$D:$D,"Q4")+COUNTIFS(Tableau_TimeSeries!$I:$I,"&lt;&gt;",Tableau_TimeSeries!$A:$A,"IX",Tableau_TimeSeries!$C:$C,2025))</f>
        <v>49.7</v>
      </c>
      <c r="G24" s="27" t="n">
        <f aca="false">(SUMIFS(Tableau_TimeSeries!$H:$H,Tableau_TimeSeries!$A:$A,"IX",Tableau_TimeSeries!$C:$C,2024,Tableau_TimeSeries!$D:$D,"Q4")+SUMIFS(Tableau_TimeSeries!$H:$H,Tableau_TimeSeries!$A:$A,"IX",Tableau_TimeSeries!$C:$C,2025))/(COUNTIFS(Tableau_TimeSeries!$H:$H,"&lt;&gt;",Tableau_TimeSeries!$A:$A,"IX",Tableau_TimeSeries!$C:$C,2024,Tableau_TimeSeries!$D:$D,"Q4")+COUNTIFS(Tableau_TimeSeries!$H:$H,"&lt;&gt;",Tableau_TimeSeries!$A:$A,"IX",Tableau_TimeSeries!$C:$C,2025))</f>
        <v>109.0175</v>
      </c>
      <c r="H24" s="36" t="n">
        <f aca="false">SUMIFS(Tableau_TimeSeries!$F:$F,Tableau_TimeSeries!$A:$A,"IX",Tableau_TimeSeries!$C:$C,2019)</f>
        <v>36346</v>
      </c>
      <c r="I24" s="27" t="n">
        <f aca="false">D24/H24*100</f>
        <v>143.231717382931</v>
      </c>
      <c r="J24" s="27" t="n">
        <f aca="false">E24/SUMIFS(Tableau_TimeSeries!$G:$G,Tableau_TimeSeries!$A:$A,"IX",Tableau_TimeSeries!$C:$C,2019)*100</f>
        <v>126.453993301924</v>
      </c>
      <c r="K24" s="27" t="n">
        <f aca="false">D24/(D24+E24)*100</f>
        <v>31.8508865313315</v>
      </c>
    </row>
    <row r="25" customFormat="false" ht="21.75" hidden="false" customHeight="true" outlineLevel="0" collapsed="false">
      <c r="A25" s="26" t="s">
        <v>57</v>
      </c>
      <c r="B25" s="26" t="s">
        <v>58</v>
      </c>
      <c r="C25" s="26" t="s">
        <v>29</v>
      </c>
      <c r="D25" s="36" t="n">
        <f aca="false">SUMIFS(Tableau_TimeSeries!$F:$F,Tableau_TimeSeries!$A:$A,"XIV",Tableau_TimeSeries!$C:$C,2024,Tableau_TimeSeries!$D:$D,"Q4")+SUMIFS(Tableau_TimeSeries!$F:$F,Tableau_TimeSeries!$A:$A,"XIV",Tableau_TimeSeries!$C:$C,2025)</f>
        <v>29814</v>
      </c>
      <c r="E25" s="36" t="n">
        <f aca="false">SUMIFS(Tableau_TimeSeries!$G:$G,Tableau_TimeSeries!$A:$A,"XIV",Tableau_TimeSeries!$C:$C,2024,Tableau_TimeSeries!$D:$D,"Q4")+SUMIFS(Tableau_TimeSeries!$G:$G,Tableau_TimeSeries!$A:$A,"XIV",Tableau_TimeSeries!$C:$C,2025)</f>
        <v>69560</v>
      </c>
      <c r="F25" s="27" t="n">
        <f aca="false">(SUMIFS(Tableau_TimeSeries!$I:$I,Tableau_TimeSeries!$A:$A,"XIV",Tableau_TimeSeries!$C:$C,2024,Tableau_TimeSeries!$D:$D,"Q4")+SUMIFS(Tableau_TimeSeries!$I:$I,Tableau_TimeSeries!$A:$A,"XIV",Tableau_TimeSeries!$C:$C,2025))/(COUNTIFS(Tableau_TimeSeries!$I:$I,"&lt;&gt;",Tableau_TimeSeries!$A:$A,"XIV",Tableau_TimeSeries!$C:$C,2024,Tableau_TimeSeries!$D:$D,"Q4")+COUNTIFS(Tableau_TimeSeries!$I:$I,"&lt;&gt;",Tableau_TimeSeries!$A:$A,"XIV",Tableau_TimeSeries!$C:$C,2025))</f>
        <v>53.775</v>
      </c>
      <c r="G25" s="27" t="n">
        <f aca="false">(SUMIFS(Tableau_TimeSeries!$H:$H,Tableau_TimeSeries!$A:$A,"XIV",Tableau_TimeSeries!$C:$C,2024,Tableau_TimeSeries!$D:$D,"Q4")+SUMIFS(Tableau_TimeSeries!$H:$H,Tableau_TimeSeries!$A:$A,"XIV",Tableau_TimeSeries!$C:$C,2025))/(COUNTIFS(Tableau_TimeSeries!$H:$H,"&lt;&gt;",Tableau_TimeSeries!$A:$A,"XIV",Tableau_TimeSeries!$C:$C,2024,Tableau_TimeSeries!$D:$D,"Q4")+COUNTIFS(Tableau_TimeSeries!$H:$H,"&lt;&gt;",Tableau_TimeSeries!$A:$A,"XIV",Tableau_TimeSeries!$C:$C,2025))</f>
        <v>113.37</v>
      </c>
      <c r="H25" s="36" t="n">
        <f aca="false">SUMIFS(Tableau_TimeSeries!$F:$F,Tableau_TimeSeries!$A:$A,"XIV",Tableau_TimeSeries!$C:$C,2019)</f>
        <v>22399</v>
      </c>
      <c r="I25" s="27" t="n">
        <f aca="false">D25/H25*100</f>
        <v>133.104156435555</v>
      </c>
      <c r="J25" s="27" t="n">
        <f aca="false">E25/SUMIFS(Tableau_TimeSeries!$G:$G,Tableau_TimeSeries!$A:$A,"XIV",Tableau_TimeSeries!$C:$C,2019)*100</f>
        <v>121.210009061128</v>
      </c>
      <c r="K25" s="27" t="n">
        <f aca="false">D25/(D25+E25)*100</f>
        <v>30.001811338982</v>
      </c>
    </row>
    <row r="26" customFormat="false" ht="21.75" hidden="false" customHeight="true" outlineLevel="0" collapsed="false">
      <c r="A26" s="26" t="s">
        <v>61</v>
      </c>
      <c r="B26" s="26" t="s">
        <v>62</v>
      </c>
      <c r="C26" s="26" t="s">
        <v>37</v>
      </c>
      <c r="D26" s="36" t="n">
        <f aca="false">SUMIFS(Tableau_TimeSeries!$F:$F,Tableau_TimeSeries!$A:$A,"X",Tableau_TimeSeries!$C:$C,2024,Tableau_TimeSeries!$D:$D,"Q4")+SUMIFS(Tableau_TimeSeries!$F:$F,Tableau_TimeSeries!$A:$A,"X",Tableau_TimeSeries!$C:$C,2025)</f>
        <v>72505</v>
      </c>
      <c r="E26" s="36" t="n">
        <f aca="false">SUMIFS(Tableau_TimeSeries!$G:$G,Tableau_TimeSeries!$A:$A,"X",Tableau_TimeSeries!$C:$C,2024,Tableau_TimeSeries!$D:$D,"Q4")+SUMIFS(Tableau_TimeSeries!$G:$G,Tableau_TimeSeries!$A:$A,"X",Tableau_TimeSeries!$C:$C,2025)</f>
        <v>159844</v>
      </c>
      <c r="F26" s="27" t="n">
        <f aca="false">(SUMIFS(Tableau_TimeSeries!$I:$I,Tableau_TimeSeries!$A:$A,"X",Tableau_TimeSeries!$C:$C,2024,Tableau_TimeSeries!$D:$D,"Q4")+SUMIFS(Tableau_TimeSeries!$I:$I,Tableau_TimeSeries!$A:$A,"X",Tableau_TimeSeries!$C:$C,2025))/(COUNTIFS(Tableau_TimeSeries!$I:$I,"&lt;&gt;",Tableau_TimeSeries!$A:$A,"X",Tableau_TimeSeries!$C:$C,2024,Tableau_TimeSeries!$D:$D,"Q4")+COUNTIFS(Tableau_TimeSeries!$I:$I,"&lt;&gt;",Tableau_TimeSeries!$A:$A,"X",Tableau_TimeSeries!$C:$C,2025))</f>
        <v>53.425</v>
      </c>
      <c r="G26" s="27" t="n">
        <f aca="false">(SUMIFS(Tableau_TimeSeries!$H:$H,Tableau_TimeSeries!$A:$A,"X",Tableau_TimeSeries!$C:$C,2024,Tableau_TimeSeries!$D:$D,"Q4")+SUMIFS(Tableau_TimeSeries!$H:$H,Tableau_TimeSeries!$A:$A,"X",Tableau_TimeSeries!$C:$C,2025))/(COUNTIFS(Tableau_TimeSeries!$H:$H,"&lt;&gt;",Tableau_TimeSeries!$A:$A,"X",Tableau_TimeSeries!$C:$C,2024,Tableau_TimeSeries!$D:$D,"Q4")+COUNTIFS(Tableau_TimeSeries!$H:$H,"&lt;&gt;",Tableau_TimeSeries!$A:$A,"X",Tableau_TimeSeries!$C:$C,2025))</f>
        <v>132.5525</v>
      </c>
      <c r="H26" s="36" t="n">
        <f aca="false">SUMIFS(Tableau_TimeSeries!$F:$F,Tableau_TimeSeries!$A:$A,"X",Tableau_TimeSeries!$C:$C,2019)</f>
        <v>48256</v>
      </c>
      <c r="I26" s="27" t="n">
        <f aca="false">D26/H26*100</f>
        <v>150.25074602122</v>
      </c>
      <c r="J26" s="27" t="n">
        <f aca="false">E26/SUMIFS(Tableau_TimeSeries!$G:$G,Tableau_TimeSeries!$A:$A,"X",Tableau_TimeSeries!$C:$C,2019)*100</f>
        <v>141.306058221873</v>
      </c>
      <c r="K26" s="27" t="n">
        <f aca="false">D26/(D26+E26)*100</f>
        <v>31.2052128479141</v>
      </c>
    </row>
    <row r="27" customFormat="false" ht="21.75" hidden="false" customHeight="true" outlineLevel="0" collapsed="false">
      <c r="A27" s="26" t="s">
        <v>64</v>
      </c>
      <c r="B27" s="32" t="s">
        <v>65</v>
      </c>
      <c r="C27" s="26" t="s">
        <v>29</v>
      </c>
      <c r="D27" s="36" t="n">
        <f aca="false">SUMIFS(Tableau_TimeSeries!$F:$F,Tableau_TimeSeries!$A:$A,"XI",Tableau_TimeSeries!$C:$C,2024,Tableau_TimeSeries!$D:$D,"Q4")+SUMIFS(Tableau_TimeSeries!$F:$F,Tableau_TimeSeries!$A:$A,"XI",Tableau_TimeSeries!$C:$C,2025)</f>
        <v>12922</v>
      </c>
      <c r="E27" s="36" t="n">
        <f aca="false">SUMIFS(Tableau_TimeSeries!$G:$G,Tableau_TimeSeries!$A:$A,"XI",Tableau_TimeSeries!$C:$C,2024,Tableau_TimeSeries!$D:$D,"Q4")+SUMIFS(Tableau_TimeSeries!$G:$G,Tableau_TimeSeries!$A:$A,"XI",Tableau_TimeSeries!$C:$C,2025)</f>
        <v>30348</v>
      </c>
      <c r="F27" s="27" t="n">
        <f aca="false">(SUMIFS(Tableau_TimeSeries!$I:$I,Tableau_TimeSeries!$A:$A,"XI",Tableau_TimeSeries!$C:$C,2024,Tableau_TimeSeries!$D:$D,"Q4")+SUMIFS(Tableau_TimeSeries!$I:$I,Tableau_TimeSeries!$A:$A,"XI",Tableau_TimeSeries!$C:$C,2025))/(COUNTIFS(Tableau_TimeSeries!$I:$I,"&lt;&gt;",Tableau_TimeSeries!$A:$A,"XI",Tableau_TimeSeries!$C:$C,2024,Tableau_TimeSeries!$D:$D,"Q4")+COUNTIFS(Tableau_TimeSeries!$I:$I,"&lt;&gt;",Tableau_TimeSeries!$A:$A,"XI",Tableau_TimeSeries!$C:$C,2025))</f>
        <v>54.9333333333333</v>
      </c>
      <c r="G27" s="27" t="n">
        <f aca="false">(SUMIFS(Tableau_TimeSeries!$H:$H,Tableau_TimeSeries!$A:$A,"XI",Tableau_TimeSeries!$C:$C,2024,Tableau_TimeSeries!$D:$D,"Q4")+SUMIFS(Tableau_TimeSeries!$H:$H,Tableau_TimeSeries!$A:$A,"XI",Tableau_TimeSeries!$C:$C,2025))/(COUNTIFS(Tableau_TimeSeries!$H:$H,"&lt;&gt;",Tableau_TimeSeries!$A:$A,"XI",Tableau_TimeSeries!$C:$C,2024,Tableau_TimeSeries!$D:$D,"Q4")+COUNTIFS(Tableau_TimeSeries!$H:$H,"&lt;&gt;",Tableau_TimeSeries!$A:$A,"XI",Tableau_TimeSeries!$C:$C,2025))</f>
        <v>166.95</v>
      </c>
      <c r="H27" s="36" t="n">
        <f aca="false">SUMIFS(Tableau_TimeSeries!$F:$F,Tableau_TimeSeries!$A:$A,"XI",Tableau_TimeSeries!$C:$C,2019)</f>
        <v>10472</v>
      </c>
      <c r="I27" s="27" t="n">
        <f aca="false">D27/H27*100</f>
        <v>123.395721925134</v>
      </c>
      <c r="J27" s="27" t="n">
        <f aca="false">E27/SUMIFS(Tableau_TimeSeries!$G:$G,Tableau_TimeSeries!$A:$A,"XI",Tableau_TimeSeries!$C:$C,2019)*100</f>
        <v>120.610444320801</v>
      </c>
      <c r="K27" s="27" t="n">
        <f aca="false">D27/(D27+E27)*100</f>
        <v>29.8636468685001</v>
      </c>
    </row>
    <row r="28" customFormat="false" ht="21.75" hidden="false" customHeight="true" outlineLevel="0" collapsed="false">
      <c r="A28" s="26" t="s">
        <v>67</v>
      </c>
      <c r="B28" s="26" t="s">
        <v>68</v>
      </c>
      <c r="C28" s="26" t="s">
        <v>37</v>
      </c>
      <c r="D28" s="36" t="n">
        <f aca="false">SUMIFS(Tableau_TimeSeries!$F:$F,Tableau_TimeSeries!$A:$A,"XII",Tableau_TimeSeries!$C:$C,2024,Tableau_TimeSeries!$D:$D,"Q4")+SUMIFS(Tableau_TimeSeries!$F:$F,Tableau_TimeSeries!$A:$A,"XII",Tableau_TimeSeries!$C:$C,2025)</f>
        <v>31509</v>
      </c>
      <c r="E28" s="36" t="n">
        <f aca="false">SUMIFS(Tableau_TimeSeries!$G:$G,Tableau_TimeSeries!$A:$A,"XII",Tableau_TimeSeries!$C:$C,2024,Tableau_TimeSeries!$D:$D,"Q4")+SUMIFS(Tableau_TimeSeries!$G:$G,Tableau_TimeSeries!$A:$A,"XII",Tableau_TimeSeries!$C:$C,2025)</f>
        <v>69062</v>
      </c>
      <c r="F28" s="27" t="n">
        <f aca="false">(SUMIFS(Tableau_TimeSeries!$I:$I,Tableau_TimeSeries!$A:$A,"XII",Tableau_TimeSeries!$C:$C,2024,Tableau_TimeSeries!$D:$D,"Q4")+SUMIFS(Tableau_TimeSeries!$I:$I,Tableau_TimeSeries!$A:$A,"XII",Tableau_TimeSeries!$C:$C,2025))/(COUNTIFS(Tableau_TimeSeries!$I:$I,"&lt;&gt;",Tableau_TimeSeries!$A:$A,"XII",Tableau_TimeSeries!$C:$C,2024,Tableau_TimeSeries!$D:$D,"Q4")+COUNTIFS(Tableau_TimeSeries!$I:$I,"&lt;&gt;",Tableau_TimeSeries!$A:$A,"XII",Tableau_TimeSeries!$C:$C,2025))</f>
        <v>55.775</v>
      </c>
      <c r="G28" s="27" t="n">
        <f aca="false">(SUMIFS(Tableau_TimeSeries!$H:$H,Tableau_TimeSeries!$A:$A,"XII",Tableau_TimeSeries!$C:$C,2024,Tableau_TimeSeries!$D:$D,"Q4")+SUMIFS(Tableau_TimeSeries!$H:$H,Tableau_TimeSeries!$A:$A,"XII",Tableau_TimeSeries!$C:$C,2025))/(COUNTIFS(Tableau_TimeSeries!$H:$H,"&lt;&gt;",Tableau_TimeSeries!$A:$A,"XII",Tableau_TimeSeries!$C:$C,2024,Tableau_TimeSeries!$D:$D,"Q4")+COUNTIFS(Tableau_TimeSeries!$H:$H,"&lt;&gt;",Tableau_TimeSeries!$A:$A,"XII",Tableau_TimeSeries!$C:$C,2025))</f>
        <v>197.9675</v>
      </c>
      <c r="H28" s="36" t="n">
        <f aca="false">SUMIFS(Tableau_TimeSeries!$F:$F,Tableau_TimeSeries!$A:$A,"XII",Tableau_TimeSeries!$C:$C,2019)</f>
        <v>23255</v>
      </c>
      <c r="I28" s="27" t="n">
        <f aca="false">D28/H28*100</f>
        <v>135.493442270479</v>
      </c>
      <c r="J28" s="27" t="n">
        <f aca="false">E28/SUMIFS(Tableau_TimeSeries!$G:$G,Tableau_TimeSeries!$A:$A,"XII",Tableau_TimeSeries!$C:$C,2019)*100</f>
        <v>127.578371788004</v>
      </c>
      <c r="K28" s="27" t="n">
        <f aca="false">D28/(D28+E28)*100</f>
        <v>31.3301050998797</v>
      </c>
    </row>
    <row r="30" customFormat="false" ht="27.75" hidden="false" customHeight="true" outlineLevel="0" collapsed="false">
      <c r="A30" s="5" t="s">
        <v>204</v>
      </c>
      <c r="B30" s="5" t="s">
        <v>205</v>
      </c>
      <c r="C30" s="5" t="s">
        <v>206</v>
      </c>
      <c r="D30" s="5" t="s">
        <v>207</v>
      </c>
      <c r="E30" s="5" t="s">
        <v>208</v>
      </c>
      <c r="F30" s="5" t="s">
        <v>209</v>
      </c>
      <c r="G30" s="5" t="s">
        <v>210</v>
      </c>
      <c r="H30" s="5" t="s">
        <v>211</v>
      </c>
    </row>
    <row r="31" customFormat="false" ht="21.75" hidden="false" customHeight="true" outlineLevel="0" collapsed="false">
      <c r="A31" s="30" t="s">
        <v>212</v>
      </c>
      <c r="B31" s="27" t="n">
        <f aca="false">AVERAGE(Dimension_Scores!$C$4:$C$18)</f>
        <v>22.9322247304463</v>
      </c>
      <c r="C31" s="27" t="n">
        <f aca="false">STDEV(Dimension_Scores!$C$4:$C$18)</f>
        <v>13.268900994255</v>
      </c>
      <c r="D31" s="27" t="n">
        <f aca="false">MIN(Dimension_Scores!$C$4:$C$18)</f>
        <v>6.31007831170034</v>
      </c>
      <c r="E31" s="27" t="n">
        <f aca="false">MAX(Dimension_Scores!$C$4:$C$18)</f>
        <v>52.0474296891536</v>
      </c>
      <c r="F31" s="38" t="n">
        <f aca="false">C31/B31</f>
        <v>0.578613769497835</v>
      </c>
      <c r="G31" s="26" t="str">
        <f aca="false">INDEX(Dimension_Scores!$B$4:$B$18,MATCH(MAX(Dimension_Scores!$C$4:$C$18),Dimension_Scores!$C$4:$C$18,0))</f>
        <v>Metropolitana</v>
      </c>
      <c r="H31" s="26" t="str">
        <f aca="false">INDEX(Dimension_Scores!$B$4:$B$18,MATCH(MIN(Dimension_Scores!$C$4:$C$18),Dimension_Scores!$C$4:$C$18,0))</f>
        <v>Aysén</v>
      </c>
    </row>
    <row r="32" customFormat="false" ht="21.75" hidden="false" customHeight="true" outlineLevel="0" collapsed="false">
      <c r="A32" s="30" t="s">
        <v>213</v>
      </c>
      <c r="B32" s="27" t="n">
        <f aca="false">AVERAGE(Dimension_Scores!$D$4:$D$18)</f>
        <v>39.5261317670678</v>
      </c>
      <c r="C32" s="27" t="n">
        <f aca="false">STDEV(Dimension_Scores!$D$4:$D$18)</f>
        <v>11.9020388823727</v>
      </c>
      <c r="D32" s="27" t="n">
        <f aca="false">MIN(Dimension_Scores!$D$4:$D$18)</f>
        <v>16.9419431145387</v>
      </c>
      <c r="E32" s="27" t="n">
        <f aca="false">MAX(Dimension_Scores!$D$4:$D$18)</f>
        <v>57.6200969793383</v>
      </c>
      <c r="F32" s="38" t="n">
        <f aca="false">C32/B32</f>
        <v>0.301118231161928</v>
      </c>
      <c r="G32" s="26" t="str">
        <f aca="false">INDEX(Dimension_Scores!$B$4:$B$18,MATCH(MAX(Dimension_Scores!$D$4:$D$18),Dimension_Scores!$D$4:$D$18,0))</f>
        <v>Los Lagos</v>
      </c>
      <c r="H32" s="26" t="str">
        <f aca="false">INDEX(Dimension_Scores!$B$4:$B$18,MATCH(MIN(Dimension_Scores!$D$4:$D$18),Dimension_Scores!$D$4:$D$18,0))</f>
        <v>Metropolitana</v>
      </c>
    </row>
    <row r="33" customFormat="false" ht="21.75" hidden="false" customHeight="true" outlineLevel="0" collapsed="false">
      <c r="A33" s="30" t="s">
        <v>214</v>
      </c>
      <c r="B33" s="27" t="n">
        <f aca="false">AVERAGE(Dimension_Scores!$E$4:$E$18)</f>
        <v>29.2090520417431</v>
      </c>
      <c r="C33" s="27" t="n">
        <f aca="false">STDEV(Dimension_Scores!$E$4:$E$18)</f>
        <v>12.1119521020173</v>
      </c>
      <c r="D33" s="27" t="n">
        <f aca="false">MIN(Dimension_Scores!$E$4:$E$18)</f>
        <v>13.4508824458554</v>
      </c>
      <c r="E33" s="27" t="n">
        <f aca="false">MAX(Dimension_Scores!$E$4:$E$18)</f>
        <v>61.7071920097236</v>
      </c>
      <c r="F33" s="38" t="n">
        <f aca="false">C33/B33</f>
        <v>0.414664333669848</v>
      </c>
      <c r="G33" s="26" t="str">
        <f aca="false">INDEX(Dimension_Scores!$B$4:$B$18,MATCH(MAX(Dimension_Scores!$E$4:$E$18),Dimension_Scores!$E$4:$E$18,0))</f>
        <v>Metropolitana</v>
      </c>
      <c r="H33" s="26" t="str">
        <f aca="false">INDEX(Dimension_Scores!$B$4:$B$18,MATCH(MIN(Dimension_Scores!$E$4:$E$18),Dimension_Scores!$E$4:$E$18,0))</f>
        <v>Los Ríos</v>
      </c>
    </row>
    <row r="34" customFormat="false" ht="21.75" hidden="false" customHeight="true" outlineLevel="0" collapsed="false">
      <c r="A34" s="30" t="s">
        <v>215</v>
      </c>
      <c r="B34" s="27" t="n">
        <f aca="false">AVERAGE(Dimension_Scores!$F$4:$F$18)</f>
        <v>28.1429099258996</v>
      </c>
      <c r="C34" s="27" t="n">
        <f aca="false">STDEV(Dimension_Scores!$F$4:$F$18)</f>
        <v>13.8006856761356</v>
      </c>
      <c r="D34" s="27" t="n">
        <f aca="false">MIN(Dimension_Scores!$F$4:$F$18)</f>
        <v>12.3405602334957</v>
      </c>
      <c r="E34" s="27" t="n">
        <f aca="false">MAX(Dimension_Scores!$F$4:$F$18)</f>
        <v>61.7018636248308</v>
      </c>
      <c r="F34" s="38" t="n">
        <f aca="false">C34/B34</f>
        <v>0.490378774351085</v>
      </c>
      <c r="G34" s="26" t="str">
        <f aca="false">INDEX(Dimension_Scores!$B$4:$B$18,MATCH(MAX(Dimension_Scores!$F$4:$F$18),Dimension_Scores!$F$4:$F$18,0))</f>
        <v>Metropolitana</v>
      </c>
      <c r="H34" s="26" t="str">
        <f aca="false">INDEX(Dimension_Scores!$B$4:$B$18,MATCH(MIN(Dimension_Scores!$F$4:$F$18),Dimension_Scores!$F$4:$F$18,0))</f>
        <v>O'Higgins</v>
      </c>
    </row>
    <row r="35" customFormat="false" ht="21.75" hidden="false" customHeight="true" outlineLevel="0" collapsed="false">
      <c r="A35" s="30" t="s">
        <v>216</v>
      </c>
      <c r="B35" s="27" t="n">
        <f aca="false">AVERAGE(Dimension_Scores!$G$4:$G$18)</f>
        <v>27.0735450542641</v>
      </c>
      <c r="C35" s="27" t="n">
        <f aca="false">STDEV(Dimension_Scores!$G$4:$G$18)</f>
        <v>14.1878126430544</v>
      </c>
      <c r="D35" s="27" t="n">
        <f aca="false">MIN(Dimension_Scores!$G$4:$G$18)</f>
        <v>7.69774487042486</v>
      </c>
      <c r="E35" s="27" t="n">
        <f aca="false">MAX(Dimension_Scores!$G$4:$G$18)</f>
        <v>57.9085053573364</v>
      </c>
      <c r="F35" s="38" t="n">
        <f aca="false">C35/B35</f>
        <v>0.524047095222197</v>
      </c>
      <c r="G35" s="26" t="str">
        <f aca="false">INDEX(Dimension_Scores!$B$4:$B$18,MATCH(MAX(Dimension_Scores!$G$4:$G$18),Dimension_Scores!$G$4:$G$18,0))</f>
        <v>Metropolitana</v>
      </c>
      <c r="H35" s="26" t="str">
        <f aca="false">INDEX(Dimension_Scores!$B$4:$B$18,MATCH(MIN(Dimension_Scores!$G$4:$G$18),Dimension_Scores!$G$4:$G$18,0))</f>
        <v>O'Higgins</v>
      </c>
    </row>
    <row r="36" customFormat="false" ht="21.75" hidden="false" customHeight="true" outlineLevel="0" collapsed="false">
      <c r="A36" s="30" t="s">
        <v>217</v>
      </c>
      <c r="B36" s="27" t="n">
        <f aca="false">AVERAGE(Dimension_Scores!$H$4:$H$18)</f>
        <v>28.7500205767374</v>
      </c>
      <c r="C36" s="27" t="n">
        <f aca="false">STDEV(Dimension_Scores!$H$4:$H$18)</f>
        <v>11.2726222559344</v>
      </c>
      <c r="D36" s="27" t="n">
        <f aca="false">MIN(Dimension_Scores!$H$4:$H$18)</f>
        <v>15.4718142701239</v>
      </c>
      <c r="E36" s="27" t="n">
        <f aca="false">MAX(Dimension_Scores!$H$4:$H$18)</f>
        <v>54.8792124947295</v>
      </c>
      <c r="F36" s="38" t="n">
        <f aca="false">C36/B36</f>
        <v>0.392090928277647</v>
      </c>
      <c r="G36" s="26" t="str">
        <f aca="false">INDEX(Dimension_Scores!$B$4:$B$18,MATCH(MAX(Dimension_Scores!$H$4:$H$18),Dimension_Scores!$H$4:$H$18,0))</f>
        <v>Metropolitana</v>
      </c>
      <c r="H36" s="26" t="str">
        <f aca="false">INDEX(Dimension_Scores!$B$4:$B$18,MATCH(MIN(Dimension_Scores!$H$4:$H$18),Dimension_Scores!$H$4:$H$18,0))</f>
        <v>Coquimbo</v>
      </c>
    </row>
    <row r="37" customFormat="false" ht="21.75" hidden="false" customHeight="true" outlineLevel="0" collapsed="false">
      <c r="A37" s="30" t="s">
        <v>218</v>
      </c>
      <c r="B37" s="27" t="n">
        <f aca="false">AVERAGE(Dimension_Scores!$I$4:$I$18)</f>
        <v>58.3023350290306</v>
      </c>
      <c r="C37" s="27" t="n">
        <f aca="false">STDEV(Dimension_Scores!$I$4:$I$18)</f>
        <v>6.4611915151888</v>
      </c>
      <c r="D37" s="27" t="n">
        <f aca="false">MIN(Dimension_Scores!$I$4:$I$18)</f>
        <v>49.056920474223</v>
      </c>
      <c r="E37" s="27" t="n">
        <f aca="false">MAX(Dimension_Scores!$I$4:$I$18)</f>
        <v>66.4546169920298</v>
      </c>
      <c r="F37" s="38" t="n">
        <f aca="false">C37/B37</f>
        <v>0.110822173965615</v>
      </c>
      <c r="G37" s="26" t="str">
        <f aca="false">INDEX(Dimension_Scores!$B$4:$B$18,MATCH(MAX(Dimension_Scores!$I$4:$I$18),Dimension_Scores!$I$4:$I$18,0))</f>
        <v>Biobío</v>
      </c>
      <c r="H37" s="26" t="str">
        <f aca="false">INDEX(Dimension_Scores!$B$4:$B$18,MATCH(MIN(Dimension_Scores!$I$4:$I$18),Dimension_Scores!$I$4:$I$18,0))</f>
        <v>Tarapacá</v>
      </c>
    </row>
    <row r="38" customFormat="false" ht="21.75" hidden="false" customHeight="true" outlineLevel="0" collapsed="false">
      <c r="A38" s="30" t="s">
        <v>219</v>
      </c>
      <c r="B38" s="27" t="n">
        <f aca="false">AVERAGE(Dimension_Scores!$J$4:$J$18)</f>
        <v>52.1253374250521</v>
      </c>
      <c r="C38" s="27" t="n">
        <f aca="false">STDEV(Dimension_Scores!$J$4:$J$18)</f>
        <v>9.44975834321609</v>
      </c>
      <c r="D38" s="27" t="n">
        <f aca="false">MIN(Dimension_Scores!$J$4:$J$18)</f>
        <v>35.097898262586</v>
      </c>
      <c r="E38" s="27" t="n">
        <f aca="false">MAX(Dimension_Scores!$J$4:$J$18)</f>
        <v>70.1010330003574</v>
      </c>
      <c r="F38" s="38" t="n">
        <f aca="false">C38/B38</f>
        <v>0.181289154373405</v>
      </c>
      <c r="G38" s="26" t="str">
        <f aca="false">INDEX(Dimension_Scores!$B$4:$B$18,MATCH(MAX(Dimension_Scores!$J$4:$J$18),Dimension_Scores!$J$4:$J$18,0))</f>
        <v>Los Lagos</v>
      </c>
      <c r="H38" s="26" t="str">
        <f aca="false">INDEX(Dimension_Scores!$B$4:$B$18,MATCH(MIN(Dimension_Scores!$J$4:$J$18),Dimension_Scores!$J$4:$J$18,0))</f>
        <v>Araucanía</v>
      </c>
    </row>
    <row r="39" customFormat="false" ht="21.75" hidden="false" customHeight="true" outlineLevel="0" collapsed="false">
      <c r="A39" s="30" t="s">
        <v>220</v>
      </c>
      <c r="B39" s="27" t="n">
        <f aca="false">AVERAGE(Dimension_Scores!$K$4:$K$18)</f>
        <v>26.6682767013168</v>
      </c>
      <c r="C39" s="27" t="n">
        <f aca="false">STDEV(Dimension_Scores!$K$4:$K$18)</f>
        <v>10.3240554938497</v>
      </c>
      <c r="D39" s="27" t="n">
        <f aca="false">MIN(Dimension_Scores!$K$4:$K$18)</f>
        <v>12.1548154626413</v>
      </c>
      <c r="E39" s="27" t="n">
        <f aca="false">MAX(Dimension_Scores!$K$4:$K$18)</f>
        <v>47.6683902485125</v>
      </c>
      <c r="F39" s="38" t="n">
        <f aca="false">C39/B39</f>
        <v>0.387128707620615</v>
      </c>
      <c r="G39" s="26" t="str">
        <f aca="false">INDEX(Dimension_Scores!$B$4:$B$18,MATCH(MAX(Dimension_Scores!$K$4:$K$18),Dimension_Scores!$K$4:$K$18,0))</f>
        <v>Magallanes y Antártica</v>
      </c>
      <c r="H39" s="26" t="str">
        <f aca="false">INDEX(Dimension_Scores!$B$4:$B$18,MATCH(MIN(Dimension_Scores!$K$4:$K$18),Dimension_Scores!$K$4:$K$18,0))</f>
        <v>Tarapacá</v>
      </c>
    </row>
    <row r="40" customFormat="false" ht="21.75" hidden="false" customHeight="true" outlineLevel="0" collapsed="false">
      <c r="A40" s="30" t="s">
        <v>221</v>
      </c>
      <c r="B40" s="27" t="n">
        <f aca="false">AVERAGE(Dimension_Scores!$L$4:$L$18)</f>
        <v>31.9800650831484</v>
      </c>
      <c r="C40" s="27" t="n">
        <f aca="false">STDEV(Dimension_Scores!$L$4:$L$18)</f>
        <v>21.2560865112465</v>
      </c>
      <c r="D40" s="27" t="n">
        <f aca="false">MIN(Dimension_Scores!$L$4:$L$18)</f>
        <v>5.97255583273249</v>
      </c>
      <c r="E40" s="27" t="n">
        <f aca="false">MAX(Dimension_Scores!$L$4:$L$18)</f>
        <v>80.2686331669514</v>
      </c>
      <c r="F40" s="38" t="n">
        <f aca="false">C40/B40</f>
        <v>0.664666768375252</v>
      </c>
      <c r="G40" s="26" t="str">
        <f aca="false">INDEX(Dimension_Scores!$B$4:$B$18,MATCH(MAX(Dimension_Scores!$L$4:$L$18),Dimension_Scores!$L$4:$L$18,0))</f>
        <v>Biobío</v>
      </c>
      <c r="H40" s="26" t="str">
        <f aca="false">INDEX(Dimension_Scores!$B$4:$B$18,MATCH(MIN(Dimension_Scores!$L$4:$L$18),Dimension_Scores!$L$4:$L$18,0))</f>
        <v>Arica y Parinacota</v>
      </c>
    </row>
    <row r="41" customFormat="false" ht="30" hidden="false" customHeight="true" outlineLevel="0" collapsed="false">
      <c r="A41" s="34" t="s">
        <v>222</v>
      </c>
      <c r="B41" s="34"/>
      <c r="C41" s="34"/>
      <c r="D41" s="34"/>
      <c r="E41" s="34"/>
      <c r="F41" s="34"/>
      <c r="G41" s="34"/>
      <c r="H41" s="34"/>
    </row>
    <row r="43" customFormat="false" ht="27.75" hidden="false" customHeight="true" outlineLevel="0" collapsed="false">
      <c r="A43" s="5" t="s">
        <v>223</v>
      </c>
      <c r="B43" s="5" t="s">
        <v>224</v>
      </c>
      <c r="C43" s="5" t="s">
        <v>205</v>
      </c>
      <c r="D43" s="5" t="s">
        <v>206</v>
      </c>
      <c r="E43" s="5" t="s">
        <v>207</v>
      </c>
      <c r="F43" s="5" t="s">
        <v>225</v>
      </c>
      <c r="G43" s="5" t="s">
        <v>208</v>
      </c>
    </row>
    <row r="44" customFormat="false" ht="21.75" hidden="false" customHeight="true" outlineLevel="0" collapsed="false">
      <c r="A44" s="30" t="s">
        <v>180</v>
      </c>
      <c r="B44" s="40" t="n">
        <f aca="false">COUNT(Tableau_TimeSeries!$F$2:$F$406)</f>
        <v>404</v>
      </c>
      <c r="C44" s="41" t="n">
        <f aca="false">AVERAGE(Tableau_TimeSeries!$F$2:$F$406)</f>
        <v>7672.82178217822</v>
      </c>
      <c r="D44" s="41" t="n">
        <f aca="false">STDEV(Tableau_TimeSeries!$F$2:$F$406)</f>
        <v>7798.03520064459</v>
      </c>
      <c r="E44" s="41" t="n">
        <f aca="false">MIN(Tableau_TimeSeries!$F$2:$F$406)</f>
        <v>50</v>
      </c>
      <c r="F44" s="41" t="n">
        <f aca="false">MEDIAN(Tableau_TimeSeries!$F$2:$F$406)</f>
        <v>6109</v>
      </c>
      <c r="G44" s="41" t="n">
        <f aca="false">MAX(Tableau_TimeSeries!$F$2:$F$406)</f>
        <v>55042</v>
      </c>
    </row>
    <row r="45" customFormat="false" ht="21.75" hidden="false" customHeight="true" outlineLevel="0" collapsed="false">
      <c r="A45" s="30" t="s">
        <v>181</v>
      </c>
      <c r="B45" s="40" t="n">
        <f aca="false">COUNT(Tableau_TimeSeries!$G$2:$G$406)</f>
        <v>405</v>
      </c>
      <c r="C45" s="41" t="n">
        <f aca="false">AVERAGE(Tableau_TimeSeries!$G$2:$G$406)</f>
        <v>19047.8172839506</v>
      </c>
      <c r="D45" s="41" t="n">
        <f aca="false">STDEV(Tableau_TimeSeries!$G$2:$G$406)</f>
        <v>15134.0986985359</v>
      </c>
      <c r="E45" s="41" t="n">
        <f aca="false">MIN(Tableau_TimeSeries!$G$2:$G$406)</f>
        <v>702</v>
      </c>
      <c r="F45" s="41" t="n">
        <f aca="false">MEDIAN(Tableau_TimeSeries!$G$2:$G$406)</f>
        <v>15356</v>
      </c>
      <c r="G45" s="41" t="n">
        <f aca="false">MAX(Tableau_TimeSeries!$G$2:$G$406)</f>
        <v>101196</v>
      </c>
    </row>
    <row r="46" customFormat="false" ht="21.75" hidden="false" customHeight="true" outlineLevel="0" collapsed="false">
      <c r="A46" s="30" t="s">
        <v>226</v>
      </c>
      <c r="B46" s="40" t="n">
        <f aca="false">COUNT(Tableau_TimeSeries!$H$2:$H$406)</f>
        <v>400</v>
      </c>
      <c r="C46" s="41" t="n">
        <f aca="false">AVERAGE(Tableau_TimeSeries!$H$2:$H$406)</f>
        <v>112.84035</v>
      </c>
      <c r="D46" s="41" t="n">
        <f aca="false">STDEV(Tableau_TimeSeries!$H$2:$H$406)</f>
        <v>29.8529537566636</v>
      </c>
      <c r="E46" s="41" t="n">
        <f aca="false">MIN(Tableau_TimeSeries!$H$2:$H$406)</f>
        <v>61.32</v>
      </c>
      <c r="F46" s="41" t="n">
        <f aca="false">MEDIAN(Tableau_TimeSeries!$H$2:$H$406)</f>
        <v>108.885</v>
      </c>
      <c r="G46" s="41" t="n">
        <f aca="false">MAX(Tableau_TimeSeries!$H$2:$H$406)</f>
        <v>230.86</v>
      </c>
    </row>
    <row r="47" customFormat="false" ht="21.75" hidden="false" customHeight="true" outlineLevel="0" collapsed="false">
      <c r="A47" s="30" t="s">
        <v>227</v>
      </c>
      <c r="B47" s="40" t="n">
        <f aca="false">COUNT(Tableau_TimeSeries!$I$2:$I$406)</f>
        <v>399</v>
      </c>
      <c r="C47" s="41" t="n">
        <f aca="false">AVERAGE(Tableau_TimeSeries!$I$2:$I$406)</f>
        <v>49.7363408521303</v>
      </c>
      <c r="D47" s="41" t="n">
        <f aca="false">STDEV(Tableau_TimeSeries!$I$2:$I$406)</f>
        <v>12.7323059860625</v>
      </c>
      <c r="E47" s="41" t="n">
        <f aca="false">MIN(Tableau_TimeSeries!$I$2:$I$406)</f>
        <v>25.8</v>
      </c>
      <c r="F47" s="41" t="n">
        <f aca="false">MEDIAN(Tableau_TimeSeries!$I$2:$I$406)</f>
        <v>50.5</v>
      </c>
      <c r="G47" s="41" t="n">
        <f aca="false">MAX(Tableau_TimeSeries!$I$2:$I$406)</f>
        <v>88.7</v>
      </c>
    </row>
    <row r="48" customFormat="false" ht="21.75" hidden="false" customHeight="true" outlineLevel="0" collapsed="false">
      <c r="A48" s="30" t="s">
        <v>228</v>
      </c>
      <c r="B48" s="40" t="n">
        <f aca="false">COUNT(Tableau_TimeSeries!$J$2:$J$406)</f>
        <v>405</v>
      </c>
      <c r="C48" s="41" t="n">
        <f aca="false">AVERAGE(Tableau_TimeSeries!$J$2:$J$406)</f>
        <v>2.5860987654321</v>
      </c>
      <c r="D48" s="41" t="n">
        <f aca="false">STDEV(Tableau_TimeSeries!$J$2:$J$406)</f>
        <v>0.530134571112441</v>
      </c>
      <c r="E48" s="41" t="n">
        <f aca="false">MIN(Tableau_TimeSeries!$J$2:$J$406)</f>
        <v>2.02</v>
      </c>
      <c r="F48" s="41" t="n">
        <f aca="false">MEDIAN(Tableau_TimeSeries!$J$2:$J$406)</f>
        <v>2.43</v>
      </c>
      <c r="G48" s="41" t="n">
        <f aca="false">MAX(Tableau_TimeSeries!$J$2:$J$406)</f>
        <v>4.71</v>
      </c>
    </row>
    <row r="50" customFormat="false" ht="27.75" hidden="false" customHeight="true" outlineLevel="0" collapsed="false">
      <c r="A50" s="5" t="s">
        <v>229</v>
      </c>
      <c r="B50" s="5" t="s">
        <v>224</v>
      </c>
      <c r="C50" s="5" t="s">
        <v>205</v>
      </c>
      <c r="D50" s="5" t="s">
        <v>206</v>
      </c>
      <c r="E50" s="5" t="s">
        <v>207</v>
      </c>
      <c r="F50" s="5" t="s">
        <v>225</v>
      </c>
      <c r="G50" s="5" t="s">
        <v>208</v>
      </c>
    </row>
    <row r="51" customFormat="false" ht="21.75" hidden="false" customHeight="true" outlineLevel="0" collapsed="false">
      <c r="A51" s="30" t="s">
        <v>230</v>
      </c>
      <c r="B51" s="40" t="n">
        <f aca="false">COUNT(Tableau_DigitalReadiness!$D$2:$D$16)</f>
        <v>15</v>
      </c>
      <c r="C51" s="38" t="n">
        <f aca="false">AVERAGE(Tableau_DigitalReadiness!$D$2:$D$16)</f>
        <v>56.0933333333333</v>
      </c>
      <c r="D51" s="38" t="n">
        <f aca="false">STDEV(Tableau_DigitalReadiness!$D$2:$D$16)</f>
        <v>10.4514159441721</v>
      </c>
      <c r="E51" s="38" t="n">
        <f aca="false">MIN(Tableau_DigitalReadiness!$D$2:$D$16)</f>
        <v>37.3</v>
      </c>
      <c r="F51" s="38" t="n">
        <f aca="false">MEDIAN(Tableau_DigitalReadiness!$D$2:$D$16)</f>
        <v>57.7</v>
      </c>
      <c r="G51" s="38" t="n">
        <f aca="false">MAX(Tableau_DigitalReadiness!$D$2:$D$16)</f>
        <v>73.9</v>
      </c>
    </row>
    <row r="52" customFormat="false" ht="21.75" hidden="false" customHeight="true" outlineLevel="0" collapsed="false">
      <c r="A52" s="30" t="s">
        <v>231</v>
      </c>
      <c r="B52" s="40" t="n">
        <f aca="false">COUNT(Tableau_DigitalReadiness!$E$2:$E$16)</f>
        <v>15</v>
      </c>
      <c r="C52" s="38" t="n">
        <f aca="false">AVERAGE(Tableau_DigitalReadiness!$E$2:$E$16)</f>
        <v>69.8133333333333</v>
      </c>
      <c r="D52" s="38" t="n">
        <f aca="false">STDEV(Tableau_DigitalReadiness!$E$2:$E$16)</f>
        <v>6.531557095765</v>
      </c>
      <c r="E52" s="38" t="n">
        <f aca="false">MIN(Tableau_DigitalReadiness!$E$2:$E$16)</f>
        <v>61</v>
      </c>
      <c r="F52" s="38" t="n">
        <f aca="false">MEDIAN(Tableau_DigitalReadiness!$E$2:$E$16)</f>
        <v>69.3</v>
      </c>
      <c r="G52" s="38" t="n">
        <f aca="false">MAX(Tableau_DigitalReadiness!$E$2:$E$16)</f>
        <v>82.3</v>
      </c>
    </row>
    <row r="53" customFormat="false" ht="21.75" hidden="false" customHeight="true" outlineLevel="0" collapsed="false">
      <c r="A53" s="30" t="s">
        <v>232</v>
      </c>
      <c r="B53" s="40" t="n">
        <f aca="false">COUNT(Tableau_DigitalReadiness!$F$2:$F$16)</f>
        <v>15</v>
      </c>
      <c r="C53" s="38" t="n">
        <f aca="false">AVERAGE(Tableau_DigitalReadiness!$F$2:$F$16)</f>
        <v>40.3266666666667</v>
      </c>
      <c r="D53" s="38" t="n">
        <f aca="false">STDEV(Tableau_DigitalReadiness!$F$2:$F$16)</f>
        <v>8.69305689014159</v>
      </c>
      <c r="E53" s="38" t="n">
        <f aca="false">MIN(Tableau_DigitalReadiness!$F$2:$F$16)</f>
        <v>25.3</v>
      </c>
      <c r="F53" s="38" t="n">
        <f aca="false">MEDIAN(Tableau_DigitalReadiness!$F$2:$F$16)</f>
        <v>42.4</v>
      </c>
      <c r="G53" s="38" t="n">
        <f aca="false">MAX(Tableau_DigitalReadiness!$F$2:$F$16)</f>
        <v>56.2</v>
      </c>
    </row>
    <row r="54" customFormat="false" ht="21.75" hidden="false" customHeight="true" outlineLevel="0" collapsed="false">
      <c r="A54" s="30" t="s">
        <v>233</v>
      </c>
      <c r="B54" s="40" t="n">
        <f aca="false">COUNT(Tableau_DigitalReadiness!$G$2:$G$16)</f>
        <v>15</v>
      </c>
      <c r="C54" s="38" t="n">
        <f aca="false">AVERAGE(Tableau_DigitalReadiness!$G$2:$G$16)</f>
        <v>48.2866666666667</v>
      </c>
      <c r="D54" s="38" t="n">
        <f aca="false">STDEV(Tableau_DigitalReadiness!$G$2:$G$16)</f>
        <v>10.3067846355597</v>
      </c>
      <c r="E54" s="38" t="n">
        <f aca="false">MIN(Tableau_DigitalReadiness!$G$2:$G$16)</f>
        <v>30.8</v>
      </c>
      <c r="F54" s="38" t="n">
        <f aca="false">MEDIAN(Tableau_DigitalReadiness!$G$2:$G$16)</f>
        <v>48.5</v>
      </c>
      <c r="G54" s="38" t="n">
        <f aca="false">MAX(Tableau_DigitalReadiness!$G$2:$G$16)</f>
        <v>72.1</v>
      </c>
    </row>
    <row r="55" customFormat="false" ht="21.75" hidden="false" customHeight="true" outlineLevel="0" collapsed="false">
      <c r="A55" s="30" t="s">
        <v>234</v>
      </c>
      <c r="B55" s="40" t="n">
        <f aca="false">COUNT(Tableau_DigitalReadiness!$H$2:$H$16)</f>
        <v>15</v>
      </c>
      <c r="C55" s="38" t="n">
        <f aca="false">AVERAGE(Tableau_DigitalReadiness!$H$2:$H$16)</f>
        <v>2.36866666666667</v>
      </c>
      <c r="D55" s="38" t="n">
        <f aca="false">STDEV(Tableau_DigitalReadiness!$H$2:$H$16)</f>
        <v>0.747690412123195</v>
      </c>
      <c r="E55" s="38" t="n">
        <f aca="false">MIN(Tableau_DigitalReadiness!$H$2:$H$16)</f>
        <v>1.01</v>
      </c>
      <c r="F55" s="38" t="n">
        <f aca="false">MEDIAN(Tableau_DigitalReadiness!$H$2:$H$16)</f>
        <v>2.67</v>
      </c>
      <c r="G55" s="38" t="n">
        <f aca="false">MAX(Tableau_DigitalReadiness!$H$2:$H$16)</f>
        <v>3.58</v>
      </c>
    </row>
    <row r="56" customFormat="false" ht="21.75" hidden="false" customHeight="true" outlineLevel="0" collapsed="false">
      <c r="A56" s="30" t="s">
        <v>235</v>
      </c>
      <c r="B56" s="40" t="n">
        <f aca="false">COUNT(Tableau_DigitalReadiness!$I$2:$I$16)</f>
        <v>15</v>
      </c>
      <c r="C56" s="38" t="n">
        <f aca="false">AVERAGE(Tableau_DigitalReadiness!$I$2:$I$16)</f>
        <v>16.7333333333333</v>
      </c>
      <c r="D56" s="38" t="n">
        <f aca="false">STDEV(Tableau_DigitalReadiness!$I$2:$I$16)</f>
        <v>6.12333553671837</v>
      </c>
      <c r="E56" s="38" t="n">
        <f aca="false">MIN(Tableau_DigitalReadiness!$I$2:$I$16)</f>
        <v>9</v>
      </c>
      <c r="F56" s="38" t="n">
        <f aca="false">MEDIAN(Tableau_DigitalReadiness!$I$2:$I$16)</f>
        <v>16</v>
      </c>
      <c r="G56" s="38" t="n">
        <f aca="false">MAX(Tableau_DigitalReadiness!$I$2:$I$16)</f>
        <v>30</v>
      </c>
    </row>
    <row r="57" customFormat="false" ht="21.75" hidden="false" customHeight="true" outlineLevel="0" collapsed="false">
      <c r="A57" s="30" t="s">
        <v>236</v>
      </c>
      <c r="B57" s="40" t="n">
        <f aca="false">COUNT(Tableau_DigitalReadiness!$J$2:$J$16)</f>
        <v>15</v>
      </c>
      <c r="C57" s="38" t="n">
        <f aca="false">AVERAGE(Tableau_DigitalReadiness!$J$2:$J$16)</f>
        <v>3.34666666666667</v>
      </c>
      <c r="D57" s="38" t="n">
        <f aca="false">STDEV(Tableau_DigitalReadiness!$J$2:$J$16)</f>
        <v>1.53751500186254</v>
      </c>
      <c r="E57" s="38" t="n">
        <f aca="false">MIN(Tableau_DigitalReadiness!$J$2:$J$16)</f>
        <v>0.67</v>
      </c>
      <c r="F57" s="38" t="n">
        <f aca="false">MEDIAN(Tableau_DigitalReadiness!$J$2:$J$16)</f>
        <v>3.11</v>
      </c>
      <c r="G57" s="38" t="n">
        <f aca="false">MAX(Tableau_DigitalReadiness!$J$2:$J$16)</f>
        <v>6.74</v>
      </c>
    </row>
    <row r="58" customFormat="false" ht="21.75" hidden="false" customHeight="true" outlineLevel="0" collapsed="false">
      <c r="A58" s="30" t="s">
        <v>237</v>
      </c>
      <c r="B58" s="40" t="n">
        <f aca="false">COUNT(Tableau_DigitalReadiness!$K$2:$K$16)</f>
        <v>15</v>
      </c>
      <c r="C58" s="38" t="n">
        <f aca="false">AVERAGE(Tableau_DigitalReadiness!$K$2:$K$16)</f>
        <v>12.0666666666667</v>
      </c>
      <c r="D58" s="38" t="n">
        <f aca="false">STDEV(Tableau_DigitalReadiness!$K$2:$K$16)</f>
        <v>4.31718603237054</v>
      </c>
      <c r="E58" s="38" t="n">
        <f aca="false">MIN(Tableau_DigitalReadiness!$K$2:$K$16)</f>
        <v>6</v>
      </c>
      <c r="F58" s="38" t="n">
        <f aca="false">MEDIAN(Tableau_DigitalReadiness!$K$2:$K$16)</f>
        <v>12</v>
      </c>
      <c r="G58" s="38" t="n">
        <f aca="false">MAX(Tableau_DigitalReadiness!$K$2:$K$16)</f>
        <v>20</v>
      </c>
    </row>
    <row r="59" customFormat="false" ht="21.75" hidden="false" customHeight="true" outlineLevel="0" collapsed="false">
      <c r="A59" s="30" t="s">
        <v>238</v>
      </c>
      <c r="B59" s="40" t="n">
        <f aca="false">COUNT(Tableau_DigitalReadiness!$L$2:$L$16)</f>
        <v>15</v>
      </c>
      <c r="C59" s="38" t="n">
        <f aca="false">AVERAGE(Tableau_DigitalReadiness!$L$2:$L$16)</f>
        <v>5.11333333333333</v>
      </c>
      <c r="D59" s="38" t="n">
        <f aca="false">STDEV(Tableau_DigitalReadiness!$L$2:$L$16)</f>
        <v>1.37522292565173</v>
      </c>
      <c r="E59" s="38" t="n">
        <f aca="false">MIN(Tableau_DigitalReadiness!$L$2:$L$16)</f>
        <v>3.4</v>
      </c>
      <c r="F59" s="38" t="n">
        <f aca="false">MEDIAN(Tableau_DigitalReadiness!$L$2:$L$16)</f>
        <v>4.8</v>
      </c>
      <c r="G59" s="38" t="n">
        <f aca="false">MAX(Tableau_DigitalReadiness!$L$2:$L$16)</f>
        <v>7.7</v>
      </c>
    </row>
  </sheetData>
  <mergeCells count="4">
    <mergeCell ref="A1:L1"/>
    <mergeCell ref="A2:L2"/>
    <mergeCell ref="A11:I11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6"/>
    <col collapsed="false" customWidth="true" hidden="false" outlineLevel="0" max="6" min="6" style="1" width="60"/>
    <col collapsed="false" customWidth="true" hidden="false" outlineLevel="0" max="9" min="7" style="1" width="16"/>
  </cols>
  <sheetData>
    <row r="1" customFormat="false" ht="27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</row>
    <row r="3" customFormat="false" ht="24" hidden="false" customHeight="true" outlineLevel="0" collapsed="false">
      <c r="A3" s="5" t="s">
        <v>240</v>
      </c>
      <c r="B3" s="5" t="s">
        <v>8</v>
      </c>
      <c r="C3" s="5" t="s">
        <v>9</v>
      </c>
      <c r="D3" s="5" t="s">
        <v>10</v>
      </c>
      <c r="E3" s="5" t="s">
        <v>241</v>
      </c>
      <c r="F3" s="5" t="s">
        <v>242</v>
      </c>
      <c r="G3" s="5" t="s">
        <v>13</v>
      </c>
      <c r="H3" s="5" t="s">
        <v>14</v>
      </c>
      <c r="I3" s="5" t="s">
        <v>15</v>
      </c>
    </row>
    <row r="4" customFormat="false" ht="21.75" hidden="false" customHeight="true" outlineLevel="0" collapsed="false">
      <c r="A4" s="6" t="s">
        <v>8</v>
      </c>
      <c r="B4" s="42" t="n">
        <v>1</v>
      </c>
      <c r="C4" s="42" t="n">
        <v>0.661243752516027</v>
      </c>
      <c r="D4" s="42" t="n">
        <v>0.986795401465035</v>
      </c>
      <c r="E4" s="42" t="n">
        <v>0.628582121204483</v>
      </c>
      <c r="F4" s="42" t="n">
        <v>0.653023811254634</v>
      </c>
      <c r="G4" s="42" t="n">
        <v>0.805511257734945</v>
      </c>
      <c r="H4" s="42" t="n">
        <v>0.170509185440264</v>
      </c>
      <c r="I4" s="42" t="n">
        <v>0.384957572171113</v>
      </c>
    </row>
    <row r="5" customFormat="false" ht="21.75" hidden="false" customHeight="true" outlineLevel="0" collapsed="false">
      <c r="A5" s="9" t="s">
        <v>9</v>
      </c>
      <c r="B5" s="43" t="n">
        <v>0.661243752516027</v>
      </c>
      <c r="C5" s="43" t="n">
        <v>1</v>
      </c>
      <c r="D5" s="43" t="n">
        <v>0.531005794290289</v>
      </c>
      <c r="E5" s="43" t="n">
        <v>0.322608569195607</v>
      </c>
      <c r="F5" s="43" t="n">
        <v>0.226653021226197</v>
      </c>
      <c r="G5" s="43" t="n">
        <v>0.414171605430247</v>
      </c>
      <c r="H5" s="43" t="n">
        <v>0.0435259763061085</v>
      </c>
      <c r="I5" s="43" t="n">
        <v>-0.0484523395362499</v>
      </c>
    </row>
    <row r="6" customFormat="false" ht="21.75" hidden="false" customHeight="true" outlineLevel="0" collapsed="false">
      <c r="A6" s="6" t="s">
        <v>10</v>
      </c>
      <c r="B6" s="42" t="n">
        <v>0.986795401465035</v>
      </c>
      <c r="C6" s="42" t="n">
        <v>0.531005794290289</v>
      </c>
      <c r="D6" s="42" t="n">
        <v>1</v>
      </c>
      <c r="E6" s="42" t="n">
        <v>0.640369939659551</v>
      </c>
      <c r="F6" s="42" t="n">
        <v>0.688696507269342</v>
      </c>
      <c r="G6" s="42" t="n">
        <v>0.820453520097539</v>
      </c>
      <c r="H6" s="42" t="n">
        <v>0.183203645304844</v>
      </c>
      <c r="I6" s="42" t="n">
        <v>0.445296683392544</v>
      </c>
    </row>
    <row r="7" customFormat="false" ht="21.75" hidden="false" customHeight="true" outlineLevel="0" collapsed="false">
      <c r="A7" s="9" t="s">
        <v>241</v>
      </c>
      <c r="B7" s="43" t="n">
        <v>0.628582121204483</v>
      </c>
      <c r="C7" s="43" t="n">
        <v>0.322608569195607</v>
      </c>
      <c r="D7" s="43" t="n">
        <v>0.640369939659551</v>
      </c>
      <c r="E7" s="43" t="n">
        <v>1</v>
      </c>
      <c r="F7" s="43" t="n">
        <v>0.846100250762488</v>
      </c>
      <c r="G7" s="43" t="n">
        <v>0.943068334378386</v>
      </c>
      <c r="H7" s="43" t="n">
        <v>0.672253747360511</v>
      </c>
      <c r="I7" s="43" t="n">
        <v>0.750397646819608</v>
      </c>
    </row>
    <row r="8" customFormat="false" ht="21.75" hidden="false" customHeight="true" outlineLevel="0" collapsed="false">
      <c r="A8" s="6" t="s">
        <v>242</v>
      </c>
      <c r="B8" s="42" t="n">
        <v>0.653023811254634</v>
      </c>
      <c r="C8" s="42" t="n">
        <v>0.226653021226197</v>
      </c>
      <c r="D8" s="42" t="n">
        <v>0.688696507269342</v>
      </c>
      <c r="E8" s="42" t="n">
        <v>0.846100250762488</v>
      </c>
      <c r="F8" s="42" t="n">
        <v>1</v>
      </c>
      <c r="G8" s="42" t="n">
        <v>0.937017094784741</v>
      </c>
      <c r="H8" s="42" t="n">
        <v>0.696754339365009</v>
      </c>
      <c r="I8" s="42" t="n">
        <v>0.630037949031385</v>
      </c>
    </row>
    <row r="9" customFormat="false" ht="21.75" hidden="false" customHeight="true" outlineLevel="0" collapsed="false">
      <c r="A9" s="9" t="s">
        <v>13</v>
      </c>
      <c r="B9" s="43" t="n">
        <v>0.805511257734945</v>
      </c>
      <c r="C9" s="43" t="n">
        <v>0.414171605430247</v>
      </c>
      <c r="D9" s="43" t="n">
        <v>0.82045352009754</v>
      </c>
      <c r="E9" s="43" t="n">
        <v>0.943068334378386</v>
      </c>
      <c r="F9" s="43" t="n">
        <v>0.937017094784741</v>
      </c>
      <c r="G9" s="43" t="n">
        <v>1</v>
      </c>
      <c r="H9" s="43" t="n">
        <v>0.611599085752994</v>
      </c>
      <c r="I9" s="43" t="n">
        <v>0.681818363935744</v>
      </c>
    </row>
    <row r="10" customFormat="false" ht="21.75" hidden="false" customHeight="true" outlineLevel="0" collapsed="false">
      <c r="A10" s="6" t="s">
        <v>14</v>
      </c>
      <c r="B10" s="42" t="n">
        <v>0.170509185440264</v>
      </c>
      <c r="C10" s="42" t="n">
        <v>0.0435259763061085</v>
      </c>
      <c r="D10" s="42" t="n">
        <v>0.183203645304844</v>
      </c>
      <c r="E10" s="42" t="n">
        <v>0.672253747360511</v>
      </c>
      <c r="F10" s="42" t="n">
        <v>0.696754339365009</v>
      </c>
      <c r="G10" s="42" t="n">
        <v>0.611599085752994</v>
      </c>
      <c r="H10" s="42" t="n">
        <v>1</v>
      </c>
      <c r="I10" s="42" t="n">
        <v>0.309804259144488</v>
      </c>
    </row>
    <row r="11" customFormat="false" ht="21.75" hidden="false" customHeight="true" outlineLevel="0" collapsed="false">
      <c r="A11" s="9" t="s">
        <v>15</v>
      </c>
      <c r="B11" s="43" t="n">
        <v>0.384957572171113</v>
      </c>
      <c r="C11" s="43" t="n">
        <v>-0.04845233953625</v>
      </c>
      <c r="D11" s="43" t="n">
        <v>0.445296683392544</v>
      </c>
      <c r="E11" s="43" t="n">
        <v>0.750397646819608</v>
      </c>
      <c r="F11" s="43" t="n">
        <v>0.630037949031385</v>
      </c>
      <c r="G11" s="43" t="n">
        <v>0.681818363935744</v>
      </c>
      <c r="H11" s="43" t="n">
        <v>0.309804259144488</v>
      </c>
      <c r="I11" s="43" t="n">
        <v>1</v>
      </c>
    </row>
    <row r="12" customFormat="false" ht="21.75" hidden="false" customHeight="true" outlineLevel="0" collapsed="false">
      <c r="A12" s="6"/>
      <c r="B12" s="42"/>
      <c r="C12" s="42"/>
      <c r="D12" s="42"/>
      <c r="E12" s="42"/>
      <c r="F12" s="42"/>
      <c r="G12" s="42"/>
      <c r="H12" s="42"/>
      <c r="I12" s="42"/>
    </row>
    <row r="13" customFormat="false" ht="21.75" hidden="false" customHeight="true" outlineLevel="0" collapsed="false">
      <c r="A13" s="9"/>
      <c r="B13" s="43"/>
      <c r="C13" s="43"/>
      <c r="D13" s="43"/>
      <c r="E13" s="43"/>
      <c r="F13" s="43"/>
      <c r="G13" s="43"/>
      <c r="H13" s="43"/>
      <c r="I13" s="43"/>
    </row>
    <row r="14" customFormat="false" ht="21.75" hidden="false" customHeight="true" outlineLevel="0" collapsed="false">
      <c r="A14" s="44" t="s">
        <v>243</v>
      </c>
      <c r="B14" s="45" t="s">
        <v>244</v>
      </c>
      <c r="C14" s="45" t="s">
        <v>245</v>
      </c>
      <c r="D14" s="45" t="s">
        <v>246</v>
      </c>
      <c r="E14" s="42"/>
      <c r="F14" s="42"/>
      <c r="G14" s="42"/>
      <c r="H14" s="42"/>
      <c r="I14" s="42"/>
    </row>
    <row r="15" customFormat="false" ht="21.75" hidden="false" customHeight="true" outlineLevel="0" collapsed="false">
      <c r="A15" s="9" t="s">
        <v>247</v>
      </c>
      <c r="B15" s="43" t="n">
        <v>3.02297490876416</v>
      </c>
      <c r="C15" s="43" t="s">
        <v>248</v>
      </c>
      <c r="D15" s="43" t="s">
        <v>249</v>
      </c>
      <c r="E15" s="43"/>
      <c r="F15" s="43"/>
      <c r="G15" s="43"/>
      <c r="H15" s="43"/>
      <c r="I15" s="43"/>
    </row>
    <row r="16" customFormat="false" ht="21.75" hidden="false" customHeight="true" outlineLevel="0" collapsed="false">
      <c r="A16" s="6" t="s">
        <v>9</v>
      </c>
      <c r="B16" s="42" t="n">
        <v>0.376531336684554</v>
      </c>
      <c r="C16" s="42" t="s">
        <v>250</v>
      </c>
      <c r="D16" s="42" t="s">
        <v>251</v>
      </c>
      <c r="E16" s="42"/>
      <c r="F16" s="42"/>
      <c r="G16" s="42"/>
      <c r="H16" s="42"/>
      <c r="I16" s="42"/>
    </row>
    <row r="17" customFormat="false" ht="21.75" hidden="false" customHeight="true" outlineLevel="0" collapsed="false">
      <c r="A17" s="9" t="s">
        <v>10</v>
      </c>
      <c r="B17" s="43" t="n">
        <v>0.0389512871992794</v>
      </c>
      <c r="C17" s="43" t="s">
        <v>250</v>
      </c>
      <c r="D17" s="43" t="s">
        <v>251</v>
      </c>
      <c r="E17" s="43"/>
      <c r="F17" s="43"/>
      <c r="G17" s="43"/>
      <c r="H17" s="43"/>
      <c r="I17" s="43"/>
    </row>
    <row r="18" customFormat="false" ht="21.75" hidden="false" customHeight="true" outlineLevel="0" collapsed="false">
      <c r="A18" s="6" t="s">
        <v>12</v>
      </c>
      <c r="B18" s="42" t="n">
        <v>0.657472060345355</v>
      </c>
      <c r="C18" s="42" t="s">
        <v>250</v>
      </c>
      <c r="D18" s="42" t="s">
        <v>251</v>
      </c>
      <c r="E18" s="42"/>
      <c r="F18" s="42"/>
      <c r="G18" s="42"/>
      <c r="H18" s="42"/>
      <c r="I18" s="42"/>
    </row>
    <row r="19" customFormat="false" ht="21.75" hidden="false" customHeight="true" outlineLevel="0" collapsed="false">
      <c r="A19" s="9" t="s">
        <v>252</v>
      </c>
      <c r="B19" s="43" t="n">
        <v>0.734025011705635</v>
      </c>
      <c r="C19" s="43" t="s">
        <v>253</v>
      </c>
      <c r="D19" s="43" t="s">
        <v>254</v>
      </c>
      <c r="E19" s="43"/>
      <c r="F19" s="43"/>
      <c r="G19" s="43"/>
      <c r="H19" s="43"/>
      <c r="I19" s="43"/>
    </row>
    <row r="21" customFormat="false" ht="27.75" hidden="false" customHeight="true" outlineLevel="0" collapsed="false">
      <c r="A21" s="5" t="s">
        <v>255</v>
      </c>
      <c r="B21" s="5" t="s">
        <v>244</v>
      </c>
      <c r="C21" s="5" t="s">
        <v>256</v>
      </c>
      <c r="D21" s="5" t="s">
        <v>257</v>
      </c>
      <c r="E21" s="5" t="s">
        <v>258</v>
      </c>
      <c r="F21" s="5" t="s">
        <v>259</v>
      </c>
    </row>
    <row r="22" customFormat="false" ht="21.75" hidden="false" customHeight="true" outlineLevel="0" collapsed="false">
      <c r="A22" s="26" t="s">
        <v>260</v>
      </c>
      <c r="B22" s="46" t="n">
        <v>3.02297490876416</v>
      </c>
      <c r="C22" s="46" t="n">
        <v>16.3263163158041</v>
      </c>
      <c r="D22" s="38" t="n">
        <v>0.185159643503776</v>
      </c>
      <c r="E22" s="46" t="n">
        <v>0.856473656304359</v>
      </c>
      <c r="F22" s="30" t="s">
        <v>247</v>
      </c>
    </row>
    <row r="23" customFormat="false" ht="21.75" hidden="false" customHeight="true" outlineLevel="0" collapsed="false">
      <c r="A23" s="26" t="s">
        <v>9</v>
      </c>
      <c r="B23" s="46" t="n">
        <v>0.376531336684554</v>
      </c>
      <c r="C23" s="46" t="n">
        <v>0.538668956970878</v>
      </c>
      <c r="D23" s="38" t="n">
        <v>0.699003222316577</v>
      </c>
      <c r="E23" s="46" t="n">
        <v>0.499063257185694</v>
      </c>
      <c r="F23" s="30" t="s">
        <v>261</v>
      </c>
    </row>
    <row r="24" customFormat="false" ht="21.75" hidden="false" customHeight="true" outlineLevel="0" collapsed="false">
      <c r="A24" s="26" t="s">
        <v>10</v>
      </c>
      <c r="B24" s="46" t="n">
        <v>0.0389512871992793</v>
      </c>
      <c r="C24" s="46" t="n">
        <v>0.624943909939265</v>
      </c>
      <c r="D24" s="38" t="n">
        <v>0.0623276530577997</v>
      </c>
      <c r="E24" s="46" t="n">
        <v>0.951420019041786</v>
      </c>
      <c r="F24" s="30" t="s">
        <v>262</v>
      </c>
    </row>
    <row r="25" customFormat="false" ht="21.75" hidden="false" customHeight="true" outlineLevel="0" collapsed="false">
      <c r="A25" s="26" t="s">
        <v>12</v>
      </c>
      <c r="B25" s="46" t="n">
        <v>0.657472060345355</v>
      </c>
      <c r="C25" s="46" t="n">
        <v>0.17974023668042</v>
      </c>
      <c r="D25" s="38" t="n">
        <v>3.65790138306286</v>
      </c>
      <c r="E25" s="46" t="n">
        <v>0.003768372631281</v>
      </c>
      <c r="F25" s="30" t="s">
        <v>263</v>
      </c>
    </row>
    <row r="26" customFormat="false" ht="21.75" hidden="false" customHeight="true" outlineLevel="0" collapsed="false">
      <c r="A26" s="26" t="s">
        <v>264</v>
      </c>
      <c r="B26" s="26" t="s">
        <v>265</v>
      </c>
      <c r="C26" s="26" t="s">
        <v>266</v>
      </c>
      <c r="D26" s="26" t="s">
        <v>267</v>
      </c>
      <c r="E26" s="26" t="s">
        <v>268</v>
      </c>
      <c r="F26" s="30" t="s">
        <v>269</v>
      </c>
    </row>
    <row r="27" customFormat="false" ht="21.75" hidden="false" customHeight="true" outlineLevel="0" collapsed="false">
      <c r="A27" s="26" t="s">
        <v>270</v>
      </c>
      <c r="B27" s="46" t="n">
        <v>0.114</v>
      </c>
      <c r="C27" s="26"/>
      <c r="D27" s="26"/>
      <c r="E27" s="46" t="n">
        <v>0.004</v>
      </c>
      <c r="F27" s="30" t="s">
        <v>271</v>
      </c>
    </row>
    <row r="28" customFormat="false" ht="30" hidden="false" customHeight="true" outlineLevel="0" collapsed="false">
      <c r="A28" s="34" t="s">
        <v>272</v>
      </c>
      <c r="B28" s="34"/>
      <c r="C28" s="34"/>
      <c r="D28" s="34"/>
      <c r="E28" s="34"/>
      <c r="F28" s="34"/>
    </row>
  </sheetData>
  <mergeCells count="2">
    <mergeCell ref="A1:J1"/>
    <mergeCell ref="A28:F28"/>
  </mergeCells>
  <conditionalFormatting sqref="B4:I11">
    <cfRule type="colorScale" priority="2">
      <colorScale>
        <cfvo type="min" val="0"/>
        <cfvo type="percentile" val="50"/>
        <cfvo type="max" val="0"/>
        <color rgb="FFFCE8E6"/>
        <color rgb="FFFFFFFF"/>
        <color rgb="FFE2F0D9"/>
      </colorScale>
    </cfRule>
  </conditionalFormatting>
  <conditionalFormatting sqref="B4:I19">
    <cfRule type="colorScale" priority="3">
      <colorScale>
        <cfvo type="min" val="0"/>
        <cfvo type="percentile" val="50"/>
        <cfvo type="max" val="0"/>
        <color rgb="FFF6D8D8"/>
        <color rgb="FFFFF9E5"/>
        <color rgb="FFC0DDE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7" width="6"/>
    <col collapsed="false" customWidth="true" hidden="false" outlineLevel="0" max="2" min="2" style="47" width="20"/>
    <col collapsed="false" customWidth="true" hidden="false" outlineLevel="0" max="3" min="3" style="47" width="14"/>
    <col collapsed="false" customWidth="true" hidden="false" outlineLevel="0" max="4" min="4" style="47" width="11"/>
    <col collapsed="false" customWidth="true" hidden="false" outlineLevel="0" max="5" min="5" style="47" width="10"/>
    <col collapsed="false" customWidth="true" hidden="false" outlineLevel="0" max="6" min="6" style="47" width="9"/>
    <col collapsed="false" customWidth="true" hidden="false" outlineLevel="0" max="7" min="7" style="47" width="15"/>
    <col collapsed="false" customWidth="true" hidden="false" outlineLevel="0" max="8" min="8" style="47" width="10"/>
    <col collapsed="false" customWidth="true" hidden="false" outlineLevel="0" max="9" min="9" style="47" width="15"/>
    <col collapsed="false" customWidth="true" hidden="false" outlineLevel="0" max="10" min="10" style="47" width="10"/>
    <col collapsed="false" customWidth="true" hidden="false" outlineLevel="0" max="11" min="11" style="47" width="16"/>
    <col collapsed="false" customWidth="true" hidden="false" outlineLevel="0" max="12" min="12" style="47" width="10"/>
    <col collapsed="false" customWidth="true" hidden="false" outlineLevel="0" max="13" min="13" style="47" width="17"/>
    <col collapsed="false" customWidth="true" hidden="false" outlineLevel="0" max="14" min="14" style="47" width="10"/>
    <col collapsed="false" customWidth="true" hidden="false" outlineLevel="0" max="15" min="15" style="47" width="13"/>
    <col collapsed="false" customWidth="true" hidden="false" outlineLevel="0" max="16" min="16" style="47" width="42"/>
  </cols>
  <sheetData>
    <row r="1" customFormat="false" ht="15" hidden="false" customHeight="true" outlineLevel="0" collapsed="false">
      <c r="A1" s="48" t="s">
        <v>273</v>
      </c>
    </row>
    <row r="2" customFormat="false" ht="42" hidden="false" customHeight="true" outlineLevel="0" collapsed="false">
      <c r="A2" s="49" t="s">
        <v>274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customFormat="false" ht="43.5" hidden="false" customHeight="true" outlineLevel="0" collapsed="false">
      <c r="A4" s="50" t="s">
        <v>2</v>
      </c>
      <c r="B4" s="50" t="s">
        <v>3</v>
      </c>
      <c r="C4" s="50" t="s">
        <v>275</v>
      </c>
      <c r="D4" s="50" t="s">
        <v>276</v>
      </c>
      <c r="E4" s="50" t="s">
        <v>277</v>
      </c>
      <c r="F4" s="50" t="s">
        <v>278</v>
      </c>
      <c r="G4" s="50" t="s">
        <v>279</v>
      </c>
      <c r="H4" s="50" t="s">
        <v>280</v>
      </c>
      <c r="I4" s="50" t="s">
        <v>281</v>
      </c>
      <c r="J4" s="50" t="s">
        <v>282</v>
      </c>
      <c r="K4" s="50" t="s">
        <v>283</v>
      </c>
      <c r="L4" s="50" t="s">
        <v>284</v>
      </c>
      <c r="M4" s="50" t="s">
        <v>285</v>
      </c>
      <c r="N4" s="50" t="s">
        <v>286</v>
      </c>
      <c r="O4" s="50" t="s">
        <v>287</v>
      </c>
      <c r="P4" s="50" t="s">
        <v>288</v>
      </c>
    </row>
    <row r="5" customFormat="false" ht="15" hidden="false" customHeight="true" outlineLevel="0" collapsed="false">
      <c r="A5" s="47" t="str">
        <f aca="false">Executive_Summary!A5</f>
        <v>XV</v>
      </c>
      <c r="B5" s="47" t="str">
        <f aca="false">Executive_Summary!B5</f>
        <v>Arica y Parinacota</v>
      </c>
      <c r="C5" s="47" t="str">
        <f aca="false">Executive_Summary!C5</f>
        <v>Wait</v>
      </c>
      <c r="D5" s="51" t="n">
        <f aca="false">Executive_Summary!G5</f>
        <v>29.2155534229283</v>
      </c>
      <c r="E5" s="51" t="n">
        <f aca="false">Executive_Summary!J5</f>
        <v>36.2641968820741</v>
      </c>
      <c r="F5" s="51" t="n">
        <f aca="false">Executive_Summary!K5</f>
        <v>28.8343794580961</v>
      </c>
      <c r="G5" s="51" t="n">
        <f aca="false">0.5*D5+0.3*E5+0.2*F5</f>
        <v>31.2539116677056</v>
      </c>
      <c r="H5" s="52" t="n">
        <f aca="false">RANK(G5,$G$5:$G$19,0)</f>
        <v>11</v>
      </c>
      <c r="I5" s="51" t="n">
        <f aca="false">0.4*D5+0.4*E5+0.2*F5</f>
        <v>31.9587760136202</v>
      </c>
      <c r="J5" s="52" t="n">
        <f aca="false">RANK(I5,$I$5:$I$19,0)</f>
        <v>11</v>
      </c>
      <c r="K5" s="51" t="n">
        <f aca="false">0.33*D5+0.33*E5+0.34*F5</f>
        <v>31.4120066164035</v>
      </c>
      <c r="L5" s="52" t="n">
        <f aca="false">RANK(K5,$K$5:$K$19,0)</f>
        <v>11</v>
      </c>
      <c r="M5" s="51" t="n">
        <f aca="false">0.6*D5+0.2*E5+0.2*F5</f>
        <v>30.549047321791</v>
      </c>
      <c r="N5" s="52" t="n">
        <f aca="false">RANK(M5,$M$5:$M$19,0)</f>
        <v>10</v>
      </c>
      <c r="O5" s="52" t="n">
        <f aca="false">MAX(H5,J5,L5,N5)-MIN(H5,J5,L5,N5)</f>
        <v>1</v>
      </c>
      <c r="P5" s="47" t="str">
        <f aca="false">IF(OR(AND(H5&lt;=5,MAX(H5,J5,L5,N5)&gt;5),AND(H5&gt;5,MIN(H5,J5,L5,N5)&lt;=5),AND(H5&lt;=13,MAX(H5,J5,L5,N5)&gt;13),AND(H5&gt;13,MIN(H5,J5,L5,N5)&lt;=13)),"Yes - crosses a tier cut line under an alternate weighting","No")</f>
        <v>No</v>
      </c>
    </row>
    <row r="6" customFormat="false" ht="15" hidden="false" customHeight="true" outlineLevel="0" collapsed="false">
      <c r="A6" s="47" t="str">
        <f aca="false">Executive_Summary!A6</f>
        <v>I</v>
      </c>
      <c r="B6" s="47" t="str">
        <f aca="false">Executive_Summary!B6</f>
        <v>Tarapacá</v>
      </c>
      <c r="C6" s="47" t="str">
        <f aca="false">Executive_Summary!C6</f>
        <v>Wait</v>
      </c>
      <c r="D6" s="51" t="n">
        <f aca="false">Executive_Summary!G6</f>
        <v>26.6255751478058</v>
      </c>
      <c r="E6" s="51" t="n">
        <f aca="false">Executive_Summary!J6</f>
        <v>39.5209434086984</v>
      </c>
      <c r="F6" s="51" t="n">
        <f aca="false">Executive_Summary!K6</f>
        <v>34.144352846766</v>
      </c>
      <c r="G6" s="51" t="n">
        <f aca="false">0.5*D6+0.3*E6+0.2*F6</f>
        <v>31.9979411658656</v>
      </c>
      <c r="H6" s="52" t="n">
        <f aca="false">RANK(G6,$G$5:$G$19,0)</f>
        <v>9</v>
      </c>
      <c r="I6" s="51" t="n">
        <f aca="false">0.4*D6+0.4*E6+0.2*F6</f>
        <v>33.2874779919549</v>
      </c>
      <c r="J6" s="52" t="n">
        <f aca="false">RANK(I6,$I$5:$I$19,0)</f>
        <v>9</v>
      </c>
      <c r="K6" s="51" t="n">
        <f aca="false">0.33*D6+0.33*E6+0.34*F6</f>
        <v>33.4374310915468</v>
      </c>
      <c r="L6" s="52" t="n">
        <f aca="false">RANK(K6,$K$5:$K$19,0)</f>
        <v>9</v>
      </c>
      <c r="M6" s="51" t="n">
        <f aca="false">0.6*D6+0.2*E6+0.2*F6</f>
        <v>30.7084043397764</v>
      </c>
      <c r="N6" s="52" t="n">
        <f aca="false">RANK(M6,$M$5:$M$19,0)</f>
        <v>9</v>
      </c>
      <c r="O6" s="52" t="n">
        <f aca="false">MAX(H6,J6,L6,N6)-MIN(H6,J6,L6,N6)</f>
        <v>0</v>
      </c>
      <c r="P6" s="47" t="str">
        <f aca="false">IF(OR(AND(H6&lt;=5,MAX(H6,J6,L6,N6)&gt;5),AND(H6&gt;5,MIN(H6,J6,L6,N6)&lt;=5),AND(H6&lt;=13,MAX(H6,J6,L6,N6)&gt;13),AND(H6&gt;13,MIN(H6,J6,L6,N6)&lt;=13)),"Yes - crosses a tier cut line under an alternate weighting","No")</f>
        <v>No</v>
      </c>
    </row>
    <row r="7" customFormat="false" ht="15" hidden="false" customHeight="true" outlineLevel="0" collapsed="false">
      <c r="A7" s="47" t="str">
        <f aca="false">Executive_Summary!A7</f>
        <v>II</v>
      </c>
      <c r="B7" s="47" t="str">
        <f aca="false">Executive_Summary!B7</f>
        <v>Antofagasta</v>
      </c>
      <c r="C7" s="47" t="str">
        <f aca="false">Executive_Summary!C7</f>
        <v>Prepare First</v>
      </c>
      <c r="D7" s="51" t="n">
        <f aca="false">Executive_Summary!G7</f>
        <v>36.1634455576089</v>
      </c>
      <c r="E7" s="51" t="n">
        <f aca="false">Executive_Summary!J7</f>
        <v>35.3847034571171</v>
      </c>
      <c r="F7" s="51" t="n">
        <f aca="false">Executive_Summary!K7</f>
        <v>50.625420727857</v>
      </c>
      <c r="G7" s="51" t="n">
        <f aca="false">0.5*D7+0.3*E7+0.2*F7</f>
        <v>38.822217961511</v>
      </c>
      <c r="H7" s="52" t="n">
        <f aca="false">RANK(G7,$G$5:$G$19,0)</f>
        <v>8</v>
      </c>
      <c r="I7" s="51" t="n">
        <f aca="false">0.4*D7+0.4*E7+0.2*F7</f>
        <v>38.7443437514618</v>
      </c>
      <c r="J7" s="52" t="n">
        <f aca="false">RANK(I7,$I$5:$I$19,0)</f>
        <v>8</v>
      </c>
      <c r="K7" s="51" t="n">
        <f aca="false">0.33*D7+0.33*E7+0.34*F7</f>
        <v>40.823532222331</v>
      </c>
      <c r="L7" s="52" t="n">
        <f aca="false">RANK(K7,$K$5:$K$19,0)</f>
        <v>8</v>
      </c>
      <c r="M7" s="51" t="n">
        <f aca="false">0.6*D7+0.2*E7+0.2*F7</f>
        <v>38.9000921715602</v>
      </c>
      <c r="N7" s="52" t="n">
        <f aca="false">RANK(M7,$M$5:$M$19,0)</f>
        <v>8</v>
      </c>
      <c r="O7" s="52" t="n">
        <f aca="false">MAX(H7,J7,L7,N7)-MIN(H7,J7,L7,N7)</f>
        <v>0</v>
      </c>
      <c r="P7" s="47" t="str">
        <f aca="false">IF(OR(AND(H7&lt;=5,MAX(H7,J7,L7,N7)&gt;5),AND(H7&gt;5,MIN(H7,J7,L7,N7)&lt;=5),AND(H7&lt;=13,MAX(H7,J7,L7,N7)&gt;13),AND(H7&gt;13,MIN(H7,J7,L7,N7)&lt;=13)),"Yes - crosses a tier cut line under an alternate weighting","No")</f>
        <v>No</v>
      </c>
    </row>
    <row r="8" customFormat="false" ht="15" hidden="false" customHeight="true" outlineLevel="0" collapsed="false">
      <c r="A8" s="47" t="str">
        <f aca="false">Executive_Summary!A8</f>
        <v>III</v>
      </c>
      <c r="B8" s="47" t="str">
        <f aca="false">Executive_Summary!B8</f>
        <v>Atacama</v>
      </c>
      <c r="C8" s="47" t="str">
        <f aca="false">Executive_Summary!C8</f>
        <v>Prepare First</v>
      </c>
      <c r="D8" s="51" t="n">
        <f aca="false">Executive_Summary!G8</f>
        <v>26.2832862004835</v>
      </c>
      <c r="E8" s="51" t="n">
        <f aca="false">Executive_Summary!J8</f>
        <v>41.2276330939418</v>
      </c>
      <c r="F8" s="51" t="n">
        <f aca="false">Executive_Summary!K8</f>
        <v>29.8633373698762</v>
      </c>
      <c r="G8" s="51" t="n">
        <f aca="false">0.5*D8+0.3*E8+0.2*F8</f>
        <v>31.4826005023995</v>
      </c>
      <c r="H8" s="52" t="n">
        <f aca="false">RANK(G8,$G$5:$G$19,0)</f>
        <v>10</v>
      </c>
      <c r="I8" s="51" t="n">
        <f aca="false">0.4*D8+0.4*E8+0.2*F8</f>
        <v>32.9770351917454</v>
      </c>
      <c r="J8" s="52" t="n">
        <f aca="false">RANK(I8,$I$5:$I$19,0)</f>
        <v>10</v>
      </c>
      <c r="K8" s="51" t="n">
        <f aca="false">0.33*D8+0.33*E8+0.34*F8</f>
        <v>32.4321380729183</v>
      </c>
      <c r="L8" s="52" t="n">
        <f aca="false">RANK(K8,$K$5:$K$19,0)</f>
        <v>10</v>
      </c>
      <c r="M8" s="51" t="n">
        <f aca="false">0.6*D8+0.2*E8+0.2*F8</f>
        <v>29.9881658130537</v>
      </c>
      <c r="N8" s="52" t="n">
        <f aca="false">RANK(M8,$M$5:$M$19,0)</f>
        <v>11</v>
      </c>
      <c r="O8" s="52" t="n">
        <f aca="false">MAX(H8,J8,L8,N8)-MIN(H8,J8,L8,N8)</f>
        <v>1</v>
      </c>
      <c r="P8" s="47" t="str">
        <f aca="false">IF(OR(AND(H8&lt;=5,MAX(H8,J8,L8,N8)&gt;5),AND(H8&gt;5,MIN(H8,J8,L8,N8)&lt;=5),AND(H8&lt;=13,MAX(H8,J8,L8,N8)&gt;13),AND(H8&gt;13,MIN(H8,J8,L8,N8)&lt;=13)),"Yes - crosses a tier cut line under an alternate weighting","No")</f>
        <v>No</v>
      </c>
    </row>
    <row r="9" customFormat="false" ht="15" hidden="false" customHeight="true" outlineLevel="0" collapsed="false">
      <c r="A9" s="47" t="str">
        <f aca="false">Executive_Summary!A9</f>
        <v>IV</v>
      </c>
      <c r="B9" s="47" t="str">
        <f aca="false">Executive_Summary!B9</f>
        <v>Coquimbo</v>
      </c>
      <c r="C9" s="47" t="str">
        <f aca="false">Executive_Summary!C9</f>
        <v>Scale Now</v>
      </c>
      <c r="D9" s="51" t="n">
        <f aca="false">Executive_Summary!G9</f>
        <v>34.3861519779817</v>
      </c>
      <c r="E9" s="51" t="n">
        <f aca="false">Executive_Summary!J9</f>
        <v>62.3102239294786</v>
      </c>
      <c r="F9" s="51" t="n">
        <f aca="false">Executive_Summary!K9</f>
        <v>57.6743275503052</v>
      </c>
      <c r="G9" s="51" t="n">
        <f aca="false">0.5*D9+0.3*E9+0.2*F9</f>
        <v>47.4210086778955</v>
      </c>
      <c r="H9" s="52" t="n">
        <f aca="false">RANK(G9,$G$5:$G$19,0)</f>
        <v>3</v>
      </c>
      <c r="I9" s="51" t="n">
        <f aca="false">0.4*D9+0.4*E9+0.2*F9</f>
        <v>50.2134158730452</v>
      </c>
      <c r="J9" s="52" t="n">
        <f aca="false">RANK(I9,$I$5:$I$19,0)</f>
        <v>4</v>
      </c>
      <c r="K9" s="51" t="n">
        <f aca="false">0.33*D9+0.33*E9+0.34*F9</f>
        <v>51.5190754165657</v>
      </c>
      <c r="L9" s="52" t="n">
        <f aca="false">RANK(K9,$K$5:$K$19,0)</f>
        <v>4</v>
      </c>
      <c r="M9" s="51" t="n">
        <f aca="false">0.6*D9+0.2*E9+0.2*F9</f>
        <v>44.6286014827458</v>
      </c>
      <c r="N9" s="52" t="n">
        <f aca="false">RANK(M9,$M$5:$M$19,0)</f>
        <v>4</v>
      </c>
      <c r="O9" s="52" t="n">
        <f aca="false">MAX(H9,J9,L9,N9)-MIN(H9,J9,L9,N9)</f>
        <v>1</v>
      </c>
      <c r="P9" s="47" t="str">
        <f aca="false">IF(OR(AND(H9&lt;=5,MAX(H9,J9,L9,N9)&gt;5),AND(H9&gt;5,MIN(H9,J9,L9,N9)&lt;=5),AND(H9&lt;=13,MAX(H9,J9,L9,N9)&gt;13),AND(H9&gt;13,MIN(H9,J9,L9,N9)&lt;=13)),"Yes - crosses a tier cut line under an alternate weighting","No")</f>
        <v>No</v>
      </c>
    </row>
    <row r="10" customFormat="false" ht="15" hidden="false" customHeight="true" outlineLevel="0" collapsed="false">
      <c r="A10" s="47" t="str">
        <f aca="false">Executive_Summary!A10</f>
        <v>V</v>
      </c>
      <c r="B10" s="47" t="str">
        <f aca="false">Executive_Summary!B10</f>
        <v>Valparaíso</v>
      </c>
      <c r="C10" s="47" t="str">
        <f aca="false">Executive_Summary!C10</f>
        <v>Scale Now</v>
      </c>
      <c r="D10" s="51" t="n">
        <f aca="false">Executive_Summary!G10</f>
        <v>42.4972864201178</v>
      </c>
      <c r="E10" s="51" t="n">
        <f aca="false">Executive_Summary!J10</f>
        <v>70.9040015190126</v>
      </c>
      <c r="F10" s="51" t="n">
        <f aca="false">Executive_Summary!K10</f>
        <v>68.9558545899927</v>
      </c>
      <c r="G10" s="51" t="n">
        <f aca="false">0.5*D10+0.3*E10+0.2*F10</f>
        <v>56.3110145837612</v>
      </c>
      <c r="H10" s="52" t="n">
        <f aca="false">RANK(G10,$G$5:$G$19,0)</f>
        <v>2</v>
      </c>
      <c r="I10" s="51" t="n">
        <f aca="false">0.4*D10+0.4*E10+0.2*F10</f>
        <v>59.1516860936507</v>
      </c>
      <c r="J10" s="52" t="n">
        <f aca="false">RANK(I10,$I$5:$I$19,0)</f>
        <v>2</v>
      </c>
      <c r="K10" s="51" t="n">
        <f aca="false">0.33*D10+0.33*E10+0.34*F10</f>
        <v>60.8674155805106</v>
      </c>
      <c r="L10" s="52" t="n">
        <f aca="false">RANK(K10,$K$5:$K$19,0)</f>
        <v>2</v>
      </c>
      <c r="M10" s="51" t="n">
        <f aca="false">0.6*D10+0.2*E10+0.2*F10</f>
        <v>53.4703430738717</v>
      </c>
      <c r="N10" s="52" t="n">
        <f aca="false">RANK(M10,$M$5:$M$19,0)</f>
        <v>2</v>
      </c>
      <c r="O10" s="52" t="n">
        <f aca="false">MAX(H10,J10,L10,N10)-MIN(H10,J10,L10,N10)</f>
        <v>0</v>
      </c>
      <c r="P10" s="47" t="str">
        <f aca="false">IF(OR(AND(H10&lt;=5,MAX(H10,J10,L10,N10)&gt;5),AND(H10&gt;5,MIN(H10,J10,L10,N10)&lt;=5),AND(H10&lt;=13,MAX(H10,J10,L10,N10)&gt;13),AND(H10&gt;13,MIN(H10,J10,L10,N10)&lt;=13)),"Yes - crosses a tier cut line under an alternate weighting","No")</f>
        <v>No</v>
      </c>
    </row>
    <row r="11" customFormat="false" ht="15" hidden="false" customHeight="true" outlineLevel="0" collapsed="false">
      <c r="A11" s="47" t="str">
        <f aca="false">Executive_Summary!A11</f>
        <v>RM</v>
      </c>
      <c r="B11" s="47" t="str">
        <f aca="false">Executive_Summary!B11</f>
        <v>Metropolitana</v>
      </c>
      <c r="C11" s="47" t="str">
        <f aca="false">Executive_Summary!C11</f>
        <v>Scale Now</v>
      </c>
      <c r="D11" s="51" t="n">
        <f aca="false">Executive_Summary!G11</f>
        <v>51.0274067023143</v>
      </c>
      <c r="E11" s="51" t="n">
        <f aca="false">Executive_Summary!J11</f>
        <v>95.2307692307692</v>
      </c>
      <c r="F11" s="51" t="n">
        <f aca="false">Executive_Summary!K11</f>
        <v>97.8835978835979</v>
      </c>
      <c r="G11" s="51" t="n">
        <f aca="false">0.5*D11+0.3*E11+0.2*F11</f>
        <v>73.6596536971075</v>
      </c>
      <c r="H11" s="52" t="n">
        <f aca="false">RANK(G11,$G$5:$G$19,0)</f>
        <v>1</v>
      </c>
      <c r="I11" s="51" t="n">
        <f aca="false">0.4*D11+0.4*E11+0.2*F11</f>
        <v>78.079989949953</v>
      </c>
      <c r="J11" s="52" t="n">
        <f aca="false">RANK(I11,$I$5:$I$19,0)</f>
        <v>1</v>
      </c>
      <c r="K11" s="51" t="n">
        <f aca="false">0.33*D11+0.33*E11+0.34*F11</f>
        <v>81.5456213383409</v>
      </c>
      <c r="L11" s="52" t="n">
        <f aca="false">RANK(K11,$K$5:$K$19,0)</f>
        <v>1</v>
      </c>
      <c r="M11" s="51" t="n">
        <f aca="false">0.6*D11+0.2*E11+0.2*F11</f>
        <v>69.239317444262</v>
      </c>
      <c r="N11" s="52" t="n">
        <f aca="false">RANK(M11,$M$5:$M$19,0)</f>
        <v>1</v>
      </c>
      <c r="O11" s="52" t="n">
        <f aca="false">MAX(H11,J11,L11,N11)-MIN(H11,J11,L11,N11)</f>
        <v>0</v>
      </c>
      <c r="P11" s="47" t="str">
        <f aca="false">IF(OR(AND(H11&lt;=5,MAX(H11,J11,L11,N11)&gt;5),AND(H11&gt;5,MIN(H11,J11,L11,N11)&lt;=5),AND(H11&lt;=13,MAX(H11,J11,L11,N11)&gt;13),AND(H11&gt;13,MIN(H11,J11,L11,N11)&lt;=13)),"Yes - crosses a tier cut line under an alternate weighting","No")</f>
        <v>No</v>
      </c>
    </row>
    <row r="12" customFormat="false" ht="15" hidden="false" customHeight="true" outlineLevel="0" collapsed="false">
      <c r="A12" s="47" t="str">
        <f aca="false">Executive_Summary!A12</f>
        <v>VI</v>
      </c>
      <c r="B12" s="47" t="str">
        <f aca="false">Executive_Summary!B12</f>
        <v>O'Higgins</v>
      </c>
      <c r="C12" s="47" t="str">
        <f aca="false">Executive_Summary!C12</f>
        <v>Prepare First</v>
      </c>
      <c r="D12" s="51" t="n">
        <f aca="false">Executive_Summary!G12</f>
        <v>27.6903849863783</v>
      </c>
      <c r="E12" s="51" t="n">
        <f aca="false">Executive_Summary!J12</f>
        <v>30.3996407443146</v>
      </c>
      <c r="F12" s="51" t="n">
        <f aca="false">Executive_Summary!K12</f>
        <v>18.7157283267943</v>
      </c>
      <c r="G12" s="51" t="n">
        <f aca="false">0.5*D12+0.3*E12+0.2*F12</f>
        <v>26.7082303818424</v>
      </c>
      <c r="H12" s="52" t="n">
        <f aca="false">RANK(G12,$G$5:$G$19,0)</f>
        <v>13</v>
      </c>
      <c r="I12" s="51" t="n">
        <f aca="false">0.4*D12+0.4*E12+0.2*F12</f>
        <v>26.979155957636</v>
      </c>
      <c r="J12" s="52" t="n">
        <f aca="false">RANK(I12,$I$5:$I$19,0)</f>
        <v>13</v>
      </c>
      <c r="K12" s="51" t="n">
        <f aca="false">0.33*D12+0.33*E12+0.34*F12</f>
        <v>25.5330561222387</v>
      </c>
      <c r="L12" s="52" t="n">
        <f aca="false">RANK(K12,$K$5:$K$19,0)</f>
        <v>13</v>
      </c>
      <c r="M12" s="51" t="n">
        <f aca="false">0.6*D12+0.2*E12+0.2*F12</f>
        <v>26.4373048060488</v>
      </c>
      <c r="N12" s="52" t="n">
        <f aca="false">RANK(M12,$M$5:$M$19,0)</f>
        <v>14</v>
      </c>
      <c r="O12" s="52" t="n">
        <f aca="false">MAX(H12,J12,L12,N12)-MIN(H12,J12,L12,N12)</f>
        <v>1</v>
      </c>
      <c r="P12" s="47" t="str">
        <f aca="false">IF(OR(AND(H12&lt;=5,MAX(H12,J12,L12,N12)&gt;5),AND(H12&gt;5,MIN(H12,J12,L12,N12)&lt;=5),AND(H12&lt;=13,MAX(H12,J12,L12,N12)&gt;13),AND(H12&gt;13,MIN(H12,J12,L12,N12)&lt;=13)),"Yes - crosses a tier cut line under an alternate weighting","No")</f>
        <v>Yes - crosses a tier cut line under an alternate weighting</v>
      </c>
    </row>
    <row r="13" customFormat="false" ht="15" hidden="false" customHeight="true" outlineLevel="0" collapsed="false">
      <c r="A13" s="47" t="str">
        <f aca="false">Executive_Summary!A13</f>
        <v>VII</v>
      </c>
      <c r="B13" s="47" t="str">
        <f aca="false">Executive_Summary!B13</f>
        <v>Maule</v>
      </c>
      <c r="C13" s="47" t="str">
        <f aca="false">Executive_Summary!C13</f>
        <v>Prepare First</v>
      </c>
      <c r="D13" s="51" t="n">
        <f aca="false">Executive_Summary!G13</f>
        <v>28.1172040286969</v>
      </c>
      <c r="E13" s="51" t="n">
        <f aca="false">Executive_Summary!J13</f>
        <v>59.352236325538</v>
      </c>
      <c r="F13" s="51" t="n">
        <f aca="false">Executive_Summary!K13</f>
        <v>77.1570299177692</v>
      </c>
      <c r="G13" s="51" t="n">
        <f aca="false">0.5*D13+0.3*E13+0.2*F13</f>
        <v>47.2956788955637</v>
      </c>
      <c r="H13" s="52" t="n">
        <f aca="false">RANK(G13,$G$5:$G$19,0)</f>
        <v>4</v>
      </c>
      <c r="I13" s="51" t="n">
        <f aca="false">0.4*D13+0.4*E13+0.2*F13</f>
        <v>50.4191821252478</v>
      </c>
      <c r="J13" s="52" t="n">
        <f aca="false">RANK(I13,$I$5:$I$19,0)</f>
        <v>3</v>
      </c>
      <c r="K13" s="51" t="n">
        <f aca="false">0.33*D13+0.33*E13+0.34*F13</f>
        <v>55.0983054889391</v>
      </c>
      <c r="L13" s="52" t="n">
        <f aca="false">RANK(K13,$K$5:$K$19,0)</f>
        <v>3</v>
      </c>
      <c r="M13" s="51" t="n">
        <f aca="false">0.6*D13+0.2*E13+0.2*F13</f>
        <v>44.1721756658796</v>
      </c>
      <c r="N13" s="52" t="n">
        <f aca="false">RANK(M13,$M$5:$M$19,0)</f>
        <v>5</v>
      </c>
      <c r="O13" s="52" t="n">
        <f aca="false">MAX(H13,J13,L13,N13)-MIN(H13,J13,L13,N13)</f>
        <v>2</v>
      </c>
      <c r="P13" s="47" t="str">
        <f aca="false">IF(OR(AND(H13&lt;=5,MAX(H13,J13,L13,N13)&gt;5),AND(H13&gt;5,MIN(H13,J13,L13,N13)&lt;=5),AND(H13&lt;=13,MAX(H13,J13,L13,N13)&gt;13),AND(H13&gt;13,MIN(H13,J13,L13,N13)&lt;=13)),"Yes - crosses a tier cut line under an alternate weighting","No")</f>
        <v>No</v>
      </c>
    </row>
    <row r="14" customFormat="false" ht="15" hidden="false" customHeight="true" outlineLevel="0" collapsed="false">
      <c r="A14" s="47" t="str">
        <f aca="false">Executive_Summary!A14</f>
        <v>VIII</v>
      </c>
      <c r="B14" s="47" t="str">
        <f aca="false">Executive_Summary!B14</f>
        <v>Biobío</v>
      </c>
      <c r="C14" s="47" t="str">
        <f aca="false">Executive_Summary!C14</f>
        <v>Prepare First</v>
      </c>
      <c r="D14" s="51" t="n">
        <f aca="false">Executive_Summary!G14</f>
        <v>36.8461731158971</v>
      </c>
      <c r="E14" s="51" t="n">
        <f aca="false">Executive_Summary!J14</f>
        <v>45.6385409452134</v>
      </c>
      <c r="F14" s="51" t="n">
        <f aca="false">Executive_Summary!K14</f>
        <v>52.7663526628845</v>
      </c>
      <c r="G14" s="51" t="n">
        <f aca="false">0.5*D14+0.3*E14+0.2*F14</f>
        <v>42.6679193740895</v>
      </c>
      <c r="H14" s="52" t="n">
        <f aca="false">RANK(G14,$G$5:$G$19,0)</f>
        <v>6</v>
      </c>
      <c r="I14" s="51" t="n">
        <f aca="false">0.4*D14+0.4*E14+0.2*F14</f>
        <v>43.5471561570211</v>
      </c>
      <c r="J14" s="52" t="n">
        <f aca="false">RANK(I14,$I$5:$I$19,0)</f>
        <v>6</v>
      </c>
      <c r="K14" s="51" t="n">
        <f aca="false">0.33*D14+0.33*E14+0.34*F14</f>
        <v>45.1605155455472</v>
      </c>
      <c r="L14" s="52" t="n">
        <f aca="false">RANK(K14,$K$5:$K$19,0)</f>
        <v>6</v>
      </c>
      <c r="M14" s="51" t="n">
        <f aca="false">0.6*D14+0.2*E14+0.2*F14</f>
        <v>41.7886825911578</v>
      </c>
      <c r="N14" s="52" t="n">
        <f aca="false">RANK(M14,$M$5:$M$19,0)</f>
        <v>7</v>
      </c>
      <c r="O14" s="52" t="n">
        <f aca="false">MAX(H14,J14,L14,N14)-MIN(H14,J14,L14,N14)</f>
        <v>1</v>
      </c>
      <c r="P14" s="47" t="str">
        <f aca="false">IF(OR(AND(H14&lt;=5,MAX(H14,J14,L14,N14)&gt;5),AND(H14&gt;5,MIN(H14,J14,L14,N14)&lt;=5),AND(H14&lt;=13,MAX(H14,J14,L14,N14)&gt;13),AND(H14&gt;13,MIN(H14,J14,L14,N14)&lt;=13)),"Yes - crosses a tier cut line under an alternate weighting","No")</f>
        <v>No</v>
      </c>
    </row>
    <row r="15" customFormat="false" ht="15" hidden="false" customHeight="true" outlineLevel="0" collapsed="false">
      <c r="A15" s="47" t="str">
        <f aca="false">Executive_Summary!A15</f>
        <v>IX</v>
      </c>
      <c r="B15" s="47" t="str">
        <f aca="false">Executive_Summary!B15</f>
        <v>Araucanía</v>
      </c>
      <c r="C15" s="47" t="str">
        <f aca="false">Executive_Summary!C15</f>
        <v>Prepare First</v>
      </c>
      <c r="D15" s="51" t="n">
        <f aca="false">Executive_Summary!G15</f>
        <v>33.5927313370866</v>
      </c>
      <c r="E15" s="51" t="n">
        <f aca="false">Executive_Summary!J15</f>
        <v>35.7093950746512</v>
      </c>
      <c r="F15" s="51" t="n">
        <f aca="false">Executive_Summary!K15</f>
        <v>10.4239527953707</v>
      </c>
      <c r="G15" s="51" t="n">
        <f aca="false">0.5*D15+0.3*E15+0.2*F15</f>
        <v>29.5939747500128</v>
      </c>
      <c r="H15" s="52" t="n">
        <f aca="false">RANK(G15,$G$5:$G$19,0)</f>
        <v>12</v>
      </c>
      <c r="I15" s="51" t="n">
        <f aca="false">0.4*D15+0.4*E15+0.2*F15</f>
        <v>29.8056411237693</v>
      </c>
      <c r="J15" s="52" t="n">
        <f aca="false">RANK(I15,$I$5:$I$19,0)</f>
        <v>12</v>
      </c>
      <c r="K15" s="51" t="n">
        <f aca="false">0.33*D15+0.33*E15+0.34*F15</f>
        <v>26.4138456662995</v>
      </c>
      <c r="L15" s="52" t="n">
        <f aca="false">RANK(K15,$K$5:$K$19,0)</f>
        <v>12</v>
      </c>
      <c r="M15" s="51" t="n">
        <f aca="false">0.6*D15+0.2*E15+0.2*F15</f>
        <v>29.3823083762563</v>
      </c>
      <c r="N15" s="52" t="n">
        <f aca="false">RANK(M15,$M$5:$M$19,0)</f>
        <v>12</v>
      </c>
      <c r="O15" s="52" t="n">
        <f aca="false">MAX(H15,J15,L15,N15)-MIN(H15,J15,L15,N15)</f>
        <v>0</v>
      </c>
      <c r="P15" s="47" t="str">
        <f aca="false">IF(OR(AND(H15&lt;=5,MAX(H15,J15,L15,N15)&gt;5),AND(H15&gt;5,MIN(H15,J15,L15,N15)&lt;=5),AND(H15&lt;=13,MAX(H15,J15,L15,N15)&gt;13),AND(H15&gt;13,MIN(H15,J15,L15,N15)&lt;=13)),"Yes - crosses a tier cut line under an alternate weighting","No")</f>
        <v>No</v>
      </c>
    </row>
    <row r="16" customFormat="false" ht="15" hidden="false" customHeight="true" outlineLevel="0" collapsed="false">
      <c r="A16" s="47" t="str">
        <f aca="false">Executive_Summary!A16</f>
        <v>XIV</v>
      </c>
      <c r="B16" s="47" t="str">
        <f aca="false">Executive_Summary!B16</f>
        <v>Los Ríos</v>
      </c>
      <c r="C16" s="47" t="str">
        <f aca="false">Executive_Summary!C16</f>
        <v>Prepare First</v>
      </c>
      <c r="D16" s="51" t="n">
        <f aca="false">Executive_Summary!G16</f>
        <v>26.84300535656</v>
      </c>
      <c r="E16" s="51" t="n">
        <f aca="false">Executive_Summary!J16</f>
        <v>29.8261804736092</v>
      </c>
      <c r="F16" s="51" t="n">
        <f aca="false">Executive_Summary!K16</f>
        <v>16.3680997681561</v>
      </c>
      <c r="G16" s="51" t="n">
        <f aca="false">0.5*D16+0.3*E16+0.2*F16</f>
        <v>25.642976773994</v>
      </c>
      <c r="H16" s="52" t="n">
        <f aca="false">RANK(G16,$G$5:$G$19,0)</f>
        <v>14</v>
      </c>
      <c r="I16" s="51" t="n">
        <f aca="false">0.4*D16+0.4*E16+0.2*F16</f>
        <v>25.9412942856989</v>
      </c>
      <c r="J16" s="52" t="n">
        <f aca="false">RANK(I16,$I$5:$I$19,0)</f>
        <v>14</v>
      </c>
      <c r="K16" s="51" t="n">
        <f aca="false">0.33*D16+0.33*E16+0.34*F16</f>
        <v>24.2659852451289</v>
      </c>
      <c r="L16" s="52" t="n">
        <f aca="false">RANK(K16,$K$5:$K$19,0)</f>
        <v>14</v>
      </c>
      <c r="M16" s="51" t="n">
        <f aca="false">0.6*D16+0.2*E16+0.2*F16</f>
        <v>25.3446592622891</v>
      </c>
      <c r="N16" s="52" t="n">
        <f aca="false">RANK(M16,$M$5:$M$19,0)</f>
        <v>15</v>
      </c>
      <c r="O16" s="52" t="n">
        <f aca="false">MAX(H16,J16,L16,N16)-MIN(H16,J16,L16,N16)</f>
        <v>1</v>
      </c>
      <c r="P16" s="47" t="str">
        <f aca="false">IF(OR(AND(H16&lt;=5,MAX(H16,J16,L16,N16)&gt;5),AND(H16&gt;5,MIN(H16,J16,L16,N16)&lt;=5),AND(H16&lt;=13,MAX(H16,J16,L16,N16)&gt;13),AND(H16&gt;13,MIN(H16,J16,L16,N16)&lt;=13)),"Yes - crosses a tier cut line under an alternate weighting","No")</f>
        <v>No</v>
      </c>
    </row>
    <row r="17" customFormat="false" ht="15" hidden="false" customHeight="true" outlineLevel="0" collapsed="false">
      <c r="A17" s="47" t="str">
        <f aca="false">Executive_Summary!A17</f>
        <v>X</v>
      </c>
      <c r="B17" s="47" t="str">
        <f aca="false">Executive_Summary!B17</f>
        <v>Los Lagos</v>
      </c>
      <c r="C17" s="47" t="str">
        <f aca="false">Executive_Summary!C17</f>
        <v>Scale Now</v>
      </c>
      <c r="D17" s="51" t="n">
        <f aca="false">Executive_Summary!G17</f>
        <v>44.2946955257952</v>
      </c>
      <c r="E17" s="51" t="n">
        <f aca="false">Executive_Summary!J17</f>
        <v>53.3649879374229</v>
      </c>
      <c r="F17" s="51" t="n">
        <f aca="false">Executive_Summary!K17</f>
        <v>45.1502371593051</v>
      </c>
      <c r="G17" s="51" t="n">
        <f aca="false">0.5*D17+0.3*E17+0.2*F17</f>
        <v>47.1868915759855</v>
      </c>
      <c r="H17" s="52" t="n">
        <f aca="false">RANK(G17,$G$5:$G$19,0)</f>
        <v>5</v>
      </c>
      <c r="I17" s="51" t="n">
        <f aca="false">0.4*D17+0.4*E17+0.2*F17</f>
        <v>48.0939208171483</v>
      </c>
      <c r="J17" s="52" t="n">
        <f aca="false">RANK(I17,$I$5:$I$19,0)</f>
        <v>5</v>
      </c>
      <c r="K17" s="51" t="n">
        <f aca="false">0.33*D17+0.33*E17+0.34*F17</f>
        <v>47.5787761770257</v>
      </c>
      <c r="L17" s="52" t="n">
        <f aca="false">RANK(K17,$K$5:$K$19,0)</f>
        <v>5</v>
      </c>
      <c r="M17" s="51" t="n">
        <f aca="false">0.6*D17+0.2*E17+0.2*F17</f>
        <v>46.2798623348227</v>
      </c>
      <c r="N17" s="52" t="n">
        <f aca="false">RANK(M17,$M$5:$M$19,0)</f>
        <v>3</v>
      </c>
      <c r="O17" s="52" t="n">
        <f aca="false">MAX(H17,J17,L17,N17)-MIN(H17,J17,L17,N17)</f>
        <v>2</v>
      </c>
      <c r="P17" s="47" t="str">
        <f aca="false">IF(OR(AND(H17&lt;=5,MAX(H17,J17,L17,N17)&gt;5),AND(H17&gt;5,MIN(H17,J17,L17,N17)&lt;=5),AND(H17&lt;=13,MAX(H17,J17,L17,N17)&gt;13),AND(H17&gt;13,MIN(H17,J17,L17,N17)&lt;=13)),"Yes - crosses a tier cut line under an alternate weighting","No")</f>
        <v>No</v>
      </c>
    </row>
    <row r="18" customFormat="false" ht="15" hidden="false" customHeight="true" outlineLevel="0" collapsed="false">
      <c r="A18" s="47" t="str">
        <f aca="false">Executive_Summary!A18</f>
        <v>XI</v>
      </c>
      <c r="B18" s="47" t="str">
        <f aca="false">Executive_Summary!B18</f>
        <v>Aysén</v>
      </c>
      <c r="C18" s="47" t="str">
        <f aca="false">Executive_Summary!C18</f>
        <v>Prepare First</v>
      </c>
      <c r="D18" s="51" t="n">
        <f aca="false">Executive_Summary!G18</f>
        <v>33.990959621196</v>
      </c>
      <c r="E18" s="51" t="n">
        <f aca="false">Executive_Summary!J18</f>
        <v>11.1570528916498</v>
      </c>
      <c r="F18" s="51" t="n">
        <f aca="false">Executive_Summary!K18</f>
        <v>22.1759650476062</v>
      </c>
      <c r="G18" s="51" t="n">
        <f aca="false">0.5*D18+0.3*E18+0.2*F18</f>
        <v>24.7777886876142</v>
      </c>
      <c r="H18" s="52" t="n">
        <f aca="false">RANK(G18,$G$5:$G$19,0)</f>
        <v>15</v>
      </c>
      <c r="I18" s="51" t="n">
        <f aca="false">0.4*D18+0.4*E18+0.2*F18</f>
        <v>22.4943980146596</v>
      </c>
      <c r="J18" s="52" t="n">
        <f aca="false">RANK(I18,$I$5:$I$19,0)</f>
        <v>15</v>
      </c>
      <c r="K18" s="51" t="n">
        <f aca="false">0.33*D18+0.33*E18+0.34*F18</f>
        <v>22.4386722454252</v>
      </c>
      <c r="L18" s="52" t="n">
        <f aca="false">RANK(K18,$K$5:$K$19,0)</f>
        <v>15</v>
      </c>
      <c r="M18" s="51" t="n">
        <f aca="false">0.6*D18+0.2*E18+0.2*F18</f>
        <v>27.0611793605688</v>
      </c>
      <c r="N18" s="52" t="n">
        <f aca="false">RANK(M18,$M$5:$M$19,0)</f>
        <v>13</v>
      </c>
      <c r="O18" s="52" t="n">
        <f aca="false">MAX(H18,J18,L18,N18)-MIN(H18,J18,L18,N18)</f>
        <v>2</v>
      </c>
      <c r="P18" s="47" t="str">
        <f aca="false">IF(OR(AND(H18&lt;=5,MAX(H18,J18,L18,N18)&gt;5),AND(H18&gt;5,MIN(H18,J18,L18,N18)&lt;=5),AND(H18&lt;=13,MAX(H18,J18,L18,N18)&gt;13),AND(H18&gt;13,MIN(H18,J18,L18,N18)&lt;=13)),"Yes - crosses a tier cut line under an alternate weighting","No")</f>
        <v>Yes - crosses a tier cut line under an alternate weighting</v>
      </c>
    </row>
    <row r="19" customFormat="false" ht="15" hidden="false" customHeight="true" outlineLevel="0" collapsed="false">
      <c r="A19" s="47" t="str">
        <f aca="false">Executive_Summary!A19</f>
        <v>XII</v>
      </c>
      <c r="B19" s="47" t="str">
        <f aca="false">Executive_Summary!B19</f>
        <v>Magallanes y Antártica</v>
      </c>
      <c r="C19" s="47" t="str">
        <f aca="false">Executive_Summary!C19</f>
        <v>Scale Now</v>
      </c>
      <c r="D19" s="51" t="n">
        <f aca="false">Executive_Summary!G19</f>
        <v>39.4909881012089</v>
      </c>
      <c r="E19" s="51" t="n">
        <f aca="false">Executive_Summary!J19</f>
        <v>35.0899930188912</v>
      </c>
      <c r="F19" s="51" t="n">
        <f aca="false">Executive_Summary!K19</f>
        <v>57.0320179038233</v>
      </c>
      <c r="G19" s="51" t="n">
        <f aca="false">0.5*D19+0.3*E19+0.2*F19</f>
        <v>41.6788955370365</v>
      </c>
      <c r="H19" s="52" t="n">
        <f aca="false">RANK(G19,$G$5:$G$19,0)</f>
        <v>7</v>
      </c>
      <c r="I19" s="51" t="n">
        <f aca="false">0.4*D19+0.4*E19+0.2*F19</f>
        <v>41.2387960288047</v>
      </c>
      <c r="J19" s="52" t="n">
        <f aca="false">RANK(I19,$I$5:$I$19,0)</f>
        <v>7</v>
      </c>
      <c r="K19" s="51" t="n">
        <f aca="false">0.33*D19+0.33*E19+0.34*F19</f>
        <v>44.002609856933</v>
      </c>
      <c r="L19" s="52" t="n">
        <f aca="false">RANK(K19,$K$5:$K$19,0)</f>
        <v>7</v>
      </c>
      <c r="M19" s="51" t="n">
        <f aca="false">0.6*D19+0.2*E19+0.2*F19</f>
        <v>42.1189950452682</v>
      </c>
      <c r="N19" s="52" t="n">
        <f aca="false">RANK(M19,$M$5:$M$19,0)</f>
        <v>6</v>
      </c>
      <c r="O19" s="52" t="n">
        <f aca="false">MAX(H19,J19,L19,N19)-MIN(H19,J19,L19,N19)</f>
        <v>1</v>
      </c>
      <c r="P19" s="47" t="str">
        <f aca="false">IF(OR(AND(H19&lt;=5,MAX(H19,J19,L19,N19)&gt;5),AND(H19&gt;5,MIN(H19,J19,L19,N19)&lt;=5),AND(H19&lt;=13,MAX(H19,J19,L19,N19)&gt;13),AND(H19&gt;13,MIN(H19,J19,L19,N19)&lt;=13)),"Yes - crosses a tier cut line under an alternate weighting","No")</f>
        <v>No</v>
      </c>
    </row>
    <row r="21" customFormat="false" ht="15" hidden="false" customHeight="true" outlineLevel="0" collapsed="false">
      <c r="A21" s="53" t="s">
        <v>289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customFormat="false" ht="27.75" hidden="false" customHeight="true" outlineLevel="0" collapsed="false">
      <c r="A22" s="54" t="s">
        <v>290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</row>
    <row r="23" customFormat="false" ht="27.75" hidden="false" customHeight="true" outlineLevel="0" collapsed="false">
      <c r="A23" s="54" t="s">
        <v>291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</row>
    <row r="24" customFormat="false" ht="27.75" hidden="false" customHeight="true" outlineLevel="0" collapsed="false">
      <c r="A24" s="54" t="s">
        <v>292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</sheetData>
  <mergeCells count="5">
    <mergeCell ref="A2:N2"/>
    <mergeCell ref="A21:P21"/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60"/>
    <col collapsed="false" customWidth="true" hidden="false" outlineLevel="0" max="9" min="8" style="1" width="17"/>
    <col collapsed="false" customWidth="true" hidden="false" outlineLevel="0" max="10" min="10" style="1" width="14"/>
  </cols>
  <sheetData>
    <row r="1" customFormat="false" ht="27" hidden="false" customHeight="true" outlineLevel="0" collapsed="false">
      <c r="A1" s="2" t="s">
        <v>293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</row>
    <row r="3" customFormat="false" ht="24" hidden="false" customHeight="true" outlineLevel="0" collapsed="false">
      <c r="A3" s="5" t="s">
        <v>2</v>
      </c>
      <c r="B3" s="5" t="s">
        <v>3</v>
      </c>
      <c r="C3" s="5" t="s">
        <v>240</v>
      </c>
      <c r="D3" s="5" t="s">
        <v>179</v>
      </c>
      <c r="E3" s="5" t="s">
        <v>294</v>
      </c>
      <c r="F3" s="5" t="s">
        <v>295</v>
      </c>
      <c r="G3" s="5" t="s">
        <v>296</v>
      </c>
      <c r="H3" s="5" t="s">
        <v>297</v>
      </c>
      <c r="I3" s="5" t="s">
        <v>298</v>
      </c>
      <c r="J3" s="5" t="s">
        <v>299</v>
      </c>
    </row>
    <row r="4" customFormat="false" ht="21.75" hidden="false" customHeight="true" outlineLevel="0" collapsed="false">
      <c r="A4" s="6" t="s">
        <v>35</v>
      </c>
      <c r="B4" s="6" t="s">
        <v>36</v>
      </c>
      <c r="C4" s="6" t="s">
        <v>300</v>
      </c>
      <c r="D4" s="6" t="s">
        <v>301</v>
      </c>
      <c r="E4" s="42" t="n">
        <v>12639</v>
      </c>
      <c r="F4" s="42" t="n">
        <v>12614.0975202439</v>
      </c>
      <c r="G4" s="42" t="n">
        <v>10140</v>
      </c>
      <c r="H4" s="42" t="n">
        <f aca="false">(F4-E4)^2</f>
        <v>620.133498002952</v>
      </c>
      <c r="I4" s="42" t="n">
        <f aca="false">(G4-E4)^2</f>
        <v>6245001</v>
      </c>
      <c r="J4" s="42" t="str">
        <f aca="false">IF(H4&lt;I4,"Yes","No")</f>
        <v>Yes</v>
      </c>
    </row>
    <row r="5" customFormat="false" ht="21.75" hidden="false" customHeight="true" outlineLevel="0" collapsed="false">
      <c r="A5" s="9" t="s">
        <v>35</v>
      </c>
      <c r="B5" s="9" t="s">
        <v>36</v>
      </c>
      <c r="C5" s="9" t="s">
        <v>300</v>
      </c>
      <c r="D5" s="9" t="s">
        <v>302</v>
      </c>
      <c r="E5" s="43" t="n">
        <v>16060</v>
      </c>
      <c r="F5" s="43" t="n">
        <v>16777.0106265491</v>
      </c>
      <c r="G5" s="43" t="n">
        <v>13653</v>
      </c>
      <c r="H5" s="43" t="n">
        <f aca="false">(F5-E5)^2</f>
        <v>514104.238584335</v>
      </c>
      <c r="I5" s="43" t="n">
        <f aca="false">(G5-E5)^2</f>
        <v>5793649</v>
      </c>
      <c r="J5" s="43" t="str">
        <f aca="false">IF(H5&lt;I5,"Yes","No")</f>
        <v>Yes</v>
      </c>
    </row>
    <row r="6" customFormat="false" ht="21.75" hidden="false" customHeight="true" outlineLevel="0" collapsed="false">
      <c r="A6" s="6" t="s">
        <v>35</v>
      </c>
      <c r="B6" s="6" t="s">
        <v>36</v>
      </c>
      <c r="C6" s="6" t="s">
        <v>300</v>
      </c>
      <c r="D6" s="6" t="s">
        <v>303</v>
      </c>
      <c r="E6" s="42" t="n">
        <v>11184</v>
      </c>
      <c r="F6" s="42" t="n">
        <v>11309.005508051</v>
      </c>
      <c r="G6" s="42" t="n">
        <v>8328</v>
      </c>
      <c r="H6" s="42" t="n">
        <f aca="false">(F6-E6)^2</f>
        <v>15626.3770430884</v>
      </c>
      <c r="I6" s="42" t="n">
        <f aca="false">(G6-E6)^2</f>
        <v>8156736</v>
      </c>
      <c r="J6" s="42" t="str">
        <f aca="false">IF(H6&lt;I6,"Yes","No")</f>
        <v>Yes</v>
      </c>
    </row>
    <row r="7" customFormat="false" ht="21.75" hidden="false" customHeight="true" outlineLevel="0" collapsed="false">
      <c r="A7" s="9" t="s">
        <v>35</v>
      </c>
      <c r="B7" s="9" t="s">
        <v>36</v>
      </c>
      <c r="C7" s="9" t="s">
        <v>300</v>
      </c>
      <c r="D7" s="9" t="s">
        <v>304</v>
      </c>
      <c r="E7" s="43" t="n">
        <v>6981</v>
      </c>
      <c r="F7" s="43" t="n">
        <v>9903.85227533211</v>
      </c>
      <c r="G7" s="43" t="n">
        <v>7437</v>
      </c>
      <c r="H7" s="43" t="n">
        <f aca="false">(F7-E7)^2</f>
        <v>8543065.42341409</v>
      </c>
      <c r="I7" s="43" t="n">
        <f aca="false">(G7-E7)^2</f>
        <v>207936</v>
      </c>
      <c r="J7" s="43" t="str">
        <f aca="false">IF(H7&lt;I7,"Yes","No")</f>
        <v>No</v>
      </c>
    </row>
    <row r="8" customFormat="false" ht="21.75" hidden="false" customHeight="true" outlineLevel="0" collapsed="false">
      <c r="A8" s="6" t="s">
        <v>39</v>
      </c>
      <c r="B8" s="6" t="s">
        <v>40</v>
      </c>
      <c r="C8" s="6" t="s">
        <v>305</v>
      </c>
      <c r="D8" s="6" t="s">
        <v>301</v>
      </c>
      <c r="E8" s="42" t="n">
        <v>62.8</v>
      </c>
      <c r="F8" s="42" t="n">
        <v>62.2461538461538</v>
      </c>
      <c r="G8" s="42" t="n">
        <v>57.7</v>
      </c>
      <c r="H8" s="42" t="n">
        <f aca="false">(F8-E8)^2</f>
        <v>0.306745562130223</v>
      </c>
      <c r="I8" s="42" t="n">
        <f aca="false">(G8-E8)^2</f>
        <v>26.0099999999999</v>
      </c>
      <c r="J8" s="42" t="str">
        <f aca="false">IF(H8&lt;I8,"Yes","No")</f>
        <v>Yes</v>
      </c>
    </row>
    <row r="9" customFormat="false" ht="21.75" hidden="false" customHeight="true" outlineLevel="0" collapsed="false">
      <c r="A9" s="9" t="s">
        <v>39</v>
      </c>
      <c r="B9" s="9" t="s">
        <v>40</v>
      </c>
      <c r="C9" s="9" t="s">
        <v>305</v>
      </c>
      <c r="D9" s="9" t="s">
        <v>302</v>
      </c>
      <c r="E9" s="43" t="n">
        <v>86.2</v>
      </c>
      <c r="F9" s="43" t="n">
        <v>65.2282051282051</v>
      </c>
      <c r="G9" s="43" t="n">
        <v>59.5</v>
      </c>
      <c r="H9" s="43" t="n">
        <f aca="false">(F9-E9)^2</f>
        <v>439.816180144643</v>
      </c>
      <c r="I9" s="43" t="n">
        <f aca="false">(G9-E9)^2</f>
        <v>712.89</v>
      </c>
      <c r="J9" s="43" t="str">
        <f aca="false">IF(H9&lt;I9,"Yes","No")</f>
        <v>Yes</v>
      </c>
    </row>
    <row r="10" customFormat="false" ht="21.75" hidden="false" customHeight="true" outlineLevel="0" collapsed="false">
      <c r="A10" s="6" t="s">
        <v>39</v>
      </c>
      <c r="B10" s="6" t="s">
        <v>40</v>
      </c>
      <c r="C10" s="6" t="s">
        <v>305</v>
      </c>
      <c r="D10" s="6" t="s">
        <v>303</v>
      </c>
      <c r="E10" s="42" t="n">
        <v>56.7</v>
      </c>
      <c r="F10" s="42" t="n">
        <v>60.7948717948718</v>
      </c>
      <c r="G10" s="42" t="n">
        <v>59.7</v>
      </c>
      <c r="H10" s="42" t="n">
        <f aca="false">(F10-E10)^2</f>
        <v>16.7679750164366</v>
      </c>
      <c r="I10" s="42" t="n">
        <f aca="false">(G10-E10)^2</f>
        <v>9</v>
      </c>
      <c r="J10" s="42" t="str">
        <f aca="false">IF(H10&lt;I10,"Yes","No")</f>
        <v>No</v>
      </c>
    </row>
    <row r="11" customFormat="false" ht="21.75" hidden="false" customHeight="true" outlineLevel="0" collapsed="false">
      <c r="A11" s="9" t="s">
        <v>39</v>
      </c>
      <c r="B11" s="9" t="s">
        <v>40</v>
      </c>
      <c r="C11" s="9" t="s">
        <v>305</v>
      </c>
      <c r="D11" s="9" t="s">
        <v>304</v>
      </c>
      <c r="E11" s="43" t="n">
        <v>51.6</v>
      </c>
      <c r="F11" s="43" t="n">
        <v>55.3948717948718</v>
      </c>
      <c r="G11" s="43" t="n">
        <v>48.5</v>
      </c>
      <c r="H11" s="43" t="n">
        <f aca="false">(F11-E11)^2</f>
        <v>14.4010519395135</v>
      </c>
      <c r="I11" s="43" t="n">
        <f aca="false">(G11-E11)^2</f>
        <v>9.61000000000001</v>
      </c>
      <c r="J11" s="43" t="str">
        <f aca="false">IF(H11&lt;I11,"Yes","No")</f>
        <v>No</v>
      </c>
    </row>
    <row r="12" customFormat="false" ht="21.75" hidden="false" customHeight="true" outlineLevel="0" collapsed="false">
      <c r="A12" s="6"/>
      <c r="B12" s="6"/>
      <c r="C12" s="6"/>
      <c r="D12" s="6"/>
      <c r="E12" s="42"/>
      <c r="F12" s="42"/>
      <c r="G12" s="42"/>
      <c r="H12" s="42"/>
      <c r="I12" s="42"/>
      <c r="J12" s="42"/>
    </row>
    <row r="13" customFormat="false" ht="21.75" hidden="false" customHeight="true" outlineLevel="0" collapsed="false">
      <c r="A13" s="9"/>
      <c r="B13" s="9"/>
      <c r="C13" s="9"/>
      <c r="D13" s="9"/>
      <c r="E13" s="43"/>
      <c r="F13" s="43"/>
      <c r="G13" s="43"/>
      <c r="H13" s="43"/>
      <c r="I13" s="43"/>
      <c r="J13" s="43"/>
    </row>
    <row r="14" customFormat="false" ht="21.75" hidden="false" customHeight="true" outlineLevel="0" collapsed="false">
      <c r="A14" s="44" t="s">
        <v>2</v>
      </c>
      <c r="B14" s="44" t="s">
        <v>3</v>
      </c>
      <c r="C14" s="44" t="s">
        <v>240</v>
      </c>
      <c r="D14" s="44" t="s">
        <v>306</v>
      </c>
      <c r="E14" s="45" t="s">
        <v>307</v>
      </c>
      <c r="F14" s="45" t="s">
        <v>308</v>
      </c>
      <c r="G14" s="42"/>
      <c r="H14" s="42"/>
      <c r="I14" s="42"/>
      <c r="J14" s="42"/>
    </row>
    <row r="15" customFormat="false" ht="21.75" hidden="false" customHeight="true" outlineLevel="0" collapsed="false">
      <c r="A15" s="9" t="s">
        <v>35</v>
      </c>
      <c r="B15" s="9" t="s">
        <v>36</v>
      </c>
      <c r="C15" s="9" t="s">
        <v>300</v>
      </c>
      <c r="D15" s="43" t="n">
        <v>1506.10558830876</v>
      </c>
      <c r="E15" s="43" t="n">
        <v>2258.50182643274</v>
      </c>
      <c r="F15" s="43" t="n">
        <v>0.333139530514513</v>
      </c>
      <c r="G15" s="43"/>
      <c r="H15" s="43"/>
      <c r="I15" s="43"/>
      <c r="J15" s="43"/>
    </row>
    <row r="16" customFormat="false" ht="21.75" hidden="false" customHeight="true" outlineLevel="0" collapsed="false">
      <c r="A16" s="6" t="s">
        <v>39</v>
      </c>
      <c r="B16" s="6" t="s">
        <v>40</v>
      </c>
      <c r="C16" s="6" t="s">
        <v>305</v>
      </c>
      <c r="D16" s="42" t="n">
        <v>10.8546298032536</v>
      </c>
      <c r="E16" s="42" t="n">
        <v>13.7614497782755</v>
      </c>
      <c r="F16" s="42" t="n">
        <v>0.211229196186205</v>
      </c>
      <c r="G16" s="42"/>
      <c r="H16" s="42"/>
      <c r="I16" s="42"/>
      <c r="J16" s="42"/>
    </row>
    <row r="18" customFormat="false" ht="27.75" hidden="false" customHeight="true" outlineLevel="0" collapsed="false">
      <c r="A18" s="5" t="s">
        <v>309</v>
      </c>
      <c r="B18" s="5" t="s">
        <v>3</v>
      </c>
      <c r="C18" s="5" t="s">
        <v>240</v>
      </c>
      <c r="D18" s="5" t="s">
        <v>306</v>
      </c>
      <c r="E18" s="5" t="s">
        <v>307</v>
      </c>
      <c r="F18" s="5" t="s">
        <v>308</v>
      </c>
      <c r="G18" s="5" t="s">
        <v>310</v>
      </c>
    </row>
    <row r="19" customFormat="false" ht="54" hidden="false" customHeight="true" outlineLevel="0" collapsed="false">
      <c r="A19" s="26" t="s">
        <v>311</v>
      </c>
      <c r="B19" s="26" t="s">
        <v>40</v>
      </c>
      <c r="C19" s="26" t="s">
        <v>305</v>
      </c>
      <c r="D19" s="38" t="n">
        <f aca="false">SQRT(AVERAGE(H8,H10,H11))</f>
        <v>3.23912398229729</v>
      </c>
      <c r="E19" s="38" t="n">
        <f aca="false">SQRT(AVERAGE(I8,I10,I11))</f>
        <v>3.85659608117486</v>
      </c>
      <c r="F19" s="55" t="n">
        <f aca="false">1-D19/E19</f>
        <v>0.160108055363027</v>
      </c>
      <c r="G19" s="30" t="s">
        <v>312</v>
      </c>
    </row>
    <row r="20" customFormat="false" ht="50.25" hidden="false" customHeight="true" outlineLevel="0" collapsed="false">
      <c r="A20" s="26" t="s">
        <v>313</v>
      </c>
      <c r="B20" s="26" t="s">
        <v>314</v>
      </c>
      <c r="C20" s="26" t="s">
        <v>315</v>
      </c>
      <c r="D20" s="26" t="s">
        <v>316</v>
      </c>
      <c r="E20" s="26" t="s">
        <v>317</v>
      </c>
      <c r="F20" s="26" t="s">
        <v>318</v>
      </c>
      <c r="G20" s="30" t="s">
        <v>319</v>
      </c>
    </row>
    <row r="21" customFormat="false" ht="30" hidden="false" customHeight="true" outlineLevel="0" collapsed="false">
      <c r="A21" s="34" t="s">
        <v>320</v>
      </c>
      <c r="B21" s="34"/>
      <c r="C21" s="34"/>
      <c r="D21" s="34"/>
      <c r="E21" s="34"/>
      <c r="F21" s="34"/>
      <c r="G21" s="34"/>
      <c r="H21" s="34"/>
      <c r="I21" s="34"/>
      <c r="J21" s="34"/>
    </row>
  </sheetData>
  <mergeCells count="2">
    <mergeCell ref="A1:J1"/>
    <mergeCell ref="A21:J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H59" activeCellId="0" sqref="H5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8" min="5" style="1" width="14"/>
    <col collapsed="false" customWidth="true" hidden="false" outlineLevel="0" max="10" min="9" style="1" width="12"/>
  </cols>
  <sheetData>
    <row r="1" customFormat="false" ht="27" hidden="false" customHeight="true" outlineLevel="0" collapsed="false">
      <c r="A1" s="35" t="s">
        <v>321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8" hidden="false" customHeight="true" outlineLevel="0" collapsed="false">
      <c r="A2" s="25" t="s">
        <v>322</v>
      </c>
      <c r="B2" s="25"/>
      <c r="C2" s="25"/>
      <c r="D2" s="25"/>
      <c r="E2" s="25"/>
      <c r="F2" s="25"/>
      <c r="G2" s="25"/>
      <c r="H2" s="25"/>
      <c r="I2" s="25"/>
      <c r="J2" s="25"/>
    </row>
    <row r="3" customFormat="false" ht="27.75" hidden="false" customHeight="true" outlineLevel="0" collapsed="false">
      <c r="A3" s="5" t="s">
        <v>2</v>
      </c>
      <c r="B3" s="5" t="s">
        <v>3</v>
      </c>
      <c r="C3" s="5" t="s">
        <v>72</v>
      </c>
      <c r="D3" s="5" t="s">
        <v>240</v>
      </c>
      <c r="E3" s="5" t="s">
        <v>306</v>
      </c>
      <c r="F3" s="5" t="s">
        <v>323</v>
      </c>
      <c r="G3" s="5" t="s">
        <v>324</v>
      </c>
      <c r="H3" s="5" t="s">
        <v>325</v>
      </c>
      <c r="I3" s="5" t="s">
        <v>326</v>
      </c>
      <c r="J3" s="5" t="s">
        <v>327</v>
      </c>
    </row>
    <row r="4" customFormat="false" ht="21.75" hidden="false" customHeight="true" outlineLevel="0" collapsed="false">
      <c r="A4" s="26" t="s">
        <v>16</v>
      </c>
      <c r="B4" s="26" t="s">
        <v>17</v>
      </c>
      <c r="C4" s="26" t="s">
        <v>18</v>
      </c>
      <c r="D4" s="26" t="s">
        <v>300</v>
      </c>
      <c r="E4" s="56" t="n">
        <v>2247.16739916235</v>
      </c>
      <c r="F4" s="56" t="n">
        <v>1071.50886603891</v>
      </c>
      <c r="G4" s="55" t="n">
        <f aca="false">1-E4/F4</f>
        <v>-1.09719907168808</v>
      </c>
      <c r="H4" s="26" t="str">
        <f aca="false">IF(E4&lt;F4,"Yes","No")</f>
        <v>No</v>
      </c>
      <c r="I4" s="40" t="n">
        <v>11</v>
      </c>
      <c r="J4" s="40" t="n">
        <v>4</v>
      </c>
    </row>
    <row r="5" customFormat="false" ht="21.75" hidden="false" customHeight="true" outlineLevel="0" collapsed="false">
      <c r="A5" s="26" t="s">
        <v>16</v>
      </c>
      <c r="B5" s="26" t="s">
        <v>17</v>
      </c>
      <c r="C5" s="26" t="s">
        <v>18</v>
      </c>
      <c r="D5" s="26" t="s">
        <v>305</v>
      </c>
      <c r="E5" s="56" t="n">
        <v>8.32447754301936</v>
      </c>
      <c r="F5" s="56" t="n">
        <v>4.85669640805352</v>
      </c>
      <c r="G5" s="55" t="n">
        <f aca="false">1-E5/F5</f>
        <v>-0.714020569458585</v>
      </c>
      <c r="H5" s="26" t="str">
        <f aca="false">IF(E5&lt;F5,"Yes","No")</f>
        <v>No</v>
      </c>
      <c r="I5" s="40" t="n">
        <v>11</v>
      </c>
      <c r="J5" s="40" t="n">
        <v>4</v>
      </c>
    </row>
    <row r="6" customFormat="false" ht="21.75" hidden="false" customHeight="true" outlineLevel="0" collapsed="false">
      <c r="A6" s="26" t="s">
        <v>16</v>
      </c>
      <c r="B6" s="26" t="s">
        <v>17</v>
      </c>
      <c r="C6" s="26" t="s">
        <v>18</v>
      </c>
      <c r="D6" s="26" t="s">
        <v>328</v>
      </c>
      <c r="E6" s="56" t="n">
        <v>13.2338062318934</v>
      </c>
      <c r="F6" s="56" t="n">
        <v>14.2865636176094</v>
      </c>
      <c r="G6" s="55" t="n">
        <f aca="false">1-E6/F6</f>
        <v>0.0736886359725012</v>
      </c>
      <c r="H6" s="26" t="str">
        <f aca="false">IF(E6&lt;F6,"Yes","No")</f>
        <v>Yes</v>
      </c>
      <c r="I6" s="40" t="n">
        <v>11</v>
      </c>
      <c r="J6" s="40" t="n">
        <v>4</v>
      </c>
    </row>
    <row r="7" customFormat="false" ht="21.75" hidden="false" customHeight="true" outlineLevel="0" collapsed="false">
      <c r="A7" s="26" t="s">
        <v>22</v>
      </c>
      <c r="B7" s="26" t="s">
        <v>23</v>
      </c>
      <c r="C7" s="26" t="s">
        <v>18</v>
      </c>
      <c r="D7" s="26" t="s">
        <v>300</v>
      </c>
      <c r="E7" s="56" t="n">
        <v>1252.27576903935</v>
      </c>
      <c r="F7" s="56" t="n">
        <v>750.874323705372</v>
      </c>
      <c r="G7" s="55" t="n">
        <f aca="false">1-E7/F7</f>
        <v>-0.667756812963973</v>
      </c>
      <c r="H7" s="26" t="str">
        <f aca="false">IF(E7&lt;F7,"Yes","No")</f>
        <v>No</v>
      </c>
      <c r="I7" s="40" t="n">
        <v>11</v>
      </c>
      <c r="J7" s="40" t="n">
        <v>4</v>
      </c>
    </row>
    <row r="8" customFormat="false" ht="21.75" hidden="false" customHeight="true" outlineLevel="0" collapsed="false">
      <c r="A8" s="26" t="s">
        <v>22</v>
      </c>
      <c r="B8" s="26" t="s">
        <v>23</v>
      </c>
      <c r="C8" s="26" t="s">
        <v>18</v>
      </c>
      <c r="D8" s="26" t="s">
        <v>305</v>
      </c>
      <c r="E8" s="56" t="n">
        <v>2.51569922756087</v>
      </c>
      <c r="F8" s="56" t="n">
        <v>4.19940471971921</v>
      </c>
      <c r="G8" s="55" t="n">
        <f aca="false">1-E8/F8</f>
        <v>0.400939086497698</v>
      </c>
      <c r="H8" s="26" t="str">
        <f aca="false">IF(E8&lt;F8,"Yes","No")</f>
        <v>Yes</v>
      </c>
      <c r="I8" s="40" t="n">
        <v>11</v>
      </c>
      <c r="J8" s="40" t="n">
        <v>4</v>
      </c>
    </row>
    <row r="9" customFormat="false" ht="21.75" hidden="false" customHeight="true" outlineLevel="0" collapsed="false">
      <c r="A9" s="26" t="s">
        <v>22</v>
      </c>
      <c r="B9" s="26" t="s">
        <v>23</v>
      </c>
      <c r="C9" s="26" t="s">
        <v>18</v>
      </c>
      <c r="D9" s="26" t="s">
        <v>328</v>
      </c>
      <c r="E9" s="56" t="n">
        <v>9.43150372030015</v>
      </c>
      <c r="F9" s="56" t="n">
        <v>14.2909595549074</v>
      </c>
      <c r="G9" s="55" t="n">
        <f aca="false">1-E9/F9</f>
        <v>0.340037057409385</v>
      </c>
      <c r="H9" s="26" t="str">
        <f aca="false">IF(E9&lt;F9,"Yes","No")</f>
        <v>Yes</v>
      </c>
      <c r="I9" s="40" t="n">
        <v>11</v>
      </c>
      <c r="J9" s="40" t="n">
        <v>4</v>
      </c>
    </row>
    <row r="10" customFormat="false" ht="21.75" hidden="false" customHeight="true" outlineLevel="0" collapsed="false">
      <c r="A10" s="26" t="s">
        <v>27</v>
      </c>
      <c r="B10" s="26" t="s">
        <v>28</v>
      </c>
      <c r="C10" s="26" t="s">
        <v>29</v>
      </c>
      <c r="D10" s="26" t="s">
        <v>300</v>
      </c>
      <c r="E10" s="56" t="n">
        <v>2008.0725080415</v>
      </c>
      <c r="F10" s="56" t="n">
        <v>1416.79029852692</v>
      </c>
      <c r="G10" s="55" t="n">
        <f aca="false">1-E10/F10</f>
        <v>-0.417339256295977</v>
      </c>
      <c r="H10" s="26" t="str">
        <f aca="false">IF(E10&lt;F10,"Yes","No")</f>
        <v>No</v>
      </c>
      <c r="I10" s="40" t="n">
        <v>11</v>
      </c>
      <c r="J10" s="40" t="n">
        <v>4</v>
      </c>
    </row>
    <row r="11" customFormat="false" ht="21.75" hidden="false" customHeight="true" outlineLevel="0" collapsed="false">
      <c r="A11" s="26" t="s">
        <v>27</v>
      </c>
      <c r="B11" s="26" t="s">
        <v>28</v>
      </c>
      <c r="C11" s="26" t="s">
        <v>29</v>
      </c>
      <c r="D11" s="26" t="s">
        <v>305</v>
      </c>
      <c r="E11" s="56" t="n">
        <v>15.9001615219282</v>
      </c>
      <c r="F11" s="56" t="n">
        <v>10.8668072588042</v>
      </c>
      <c r="G11" s="55" t="n">
        <f aca="false">1-E11/F11</f>
        <v>-0.463186117435369</v>
      </c>
      <c r="H11" s="26" t="str">
        <f aca="false">IF(E11&lt;F11,"Yes","No")</f>
        <v>No</v>
      </c>
      <c r="I11" s="40" t="n">
        <v>11</v>
      </c>
      <c r="J11" s="40" t="n">
        <v>4</v>
      </c>
    </row>
    <row r="12" customFormat="false" ht="21.75" hidden="false" customHeight="true" outlineLevel="0" collapsed="false">
      <c r="A12" s="26" t="s">
        <v>27</v>
      </c>
      <c r="B12" s="26" t="s">
        <v>28</v>
      </c>
      <c r="C12" s="26" t="s">
        <v>29</v>
      </c>
      <c r="D12" s="26" t="s">
        <v>328</v>
      </c>
      <c r="E12" s="56" t="n">
        <v>15.6004391854133</v>
      </c>
      <c r="F12" s="56" t="n">
        <v>12.874645626191</v>
      </c>
      <c r="G12" s="55" t="n">
        <f aca="false">1-E12/F12</f>
        <v>-0.211717948467428</v>
      </c>
      <c r="H12" s="26" t="str">
        <f aca="false">IF(E12&lt;F12,"Yes","No")</f>
        <v>No</v>
      </c>
      <c r="I12" s="40" t="n">
        <v>11</v>
      </c>
      <c r="J12" s="40" t="n">
        <v>4</v>
      </c>
    </row>
    <row r="13" customFormat="false" ht="21.75" hidden="false" customHeight="true" outlineLevel="0" collapsed="false">
      <c r="A13" s="26" t="s">
        <v>31</v>
      </c>
      <c r="B13" s="26" t="s">
        <v>32</v>
      </c>
      <c r="C13" s="26" t="s">
        <v>29</v>
      </c>
      <c r="D13" s="26" t="s">
        <v>300</v>
      </c>
      <c r="E13" s="56" t="n">
        <v>2375.07196652621</v>
      </c>
      <c r="F13" s="56" t="n">
        <v>970.666266025558</v>
      </c>
      <c r="G13" s="55" t="n">
        <f aca="false">1-E13/F13</f>
        <v>-1.44684712929302</v>
      </c>
      <c r="H13" s="26" t="str">
        <f aca="false">IF(E13&lt;F13,"Yes","No")</f>
        <v>No</v>
      </c>
      <c r="I13" s="40" t="n">
        <v>11</v>
      </c>
      <c r="J13" s="40" t="n">
        <v>4</v>
      </c>
    </row>
    <row r="14" customFormat="false" ht="21.75" hidden="false" customHeight="true" outlineLevel="0" collapsed="false">
      <c r="A14" s="26" t="s">
        <v>31</v>
      </c>
      <c r="B14" s="26" t="s">
        <v>32</v>
      </c>
      <c r="C14" s="26" t="s">
        <v>29</v>
      </c>
      <c r="D14" s="26" t="s">
        <v>305</v>
      </c>
      <c r="E14" s="56" t="n">
        <v>5.46262072459749</v>
      </c>
      <c r="F14" s="56" t="n">
        <v>2.97363414023985</v>
      </c>
      <c r="G14" s="55" t="n">
        <f aca="false">1-E14/F14</f>
        <v>-0.837018431647708</v>
      </c>
      <c r="H14" s="26" t="str">
        <f aca="false">IF(E14&lt;F14,"Yes","No")</f>
        <v>No</v>
      </c>
      <c r="I14" s="40" t="n">
        <v>11</v>
      </c>
      <c r="J14" s="40" t="n">
        <v>4</v>
      </c>
    </row>
    <row r="15" customFormat="false" ht="21.75" hidden="false" customHeight="true" outlineLevel="0" collapsed="false">
      <c r="A15" s="26" t="s">
        <v>31</v>
      </c>
      <c r="B15" s="26" t="s">
        <v>32</v>
      </c>
      <c r="C15" s="26" t="s">
        <v>29</v>
      </c>
      <c r="D15" s="26" t="s">
        <v>328</v>
      </c>
      <c r="E15" s="56" t="n">
        <v>2.94582802922669</v>
      </c>
      <c r="F15" s="56" t="n">
        <v>7.20830597297312</v>
      </c>
      <c r="G15" s="55" t="n">
        <f aca="false">1-E15/F15</f>
        <v>0.591328664422431</v>
      </c>
      <c r="H15" s="26" t="str">
        <f aca="false">IF(E15&lt;F15,"Yes","No")</f>
        <v>Yes</v>
      </c>
      <c r="I15" s="40" t="n">
        <v>11</v>
      </c>
      <c r="J15" s="40" t="n">
        <v>4</v>
      </c>
    </row>
    <row r="16" customFormat="false" ht="21.75" hidden="false" customHeight="true" outlineLevel="0" collapsed="false">
      <c r="A16" s="26" t="s">
        <v>35</v>
      </c>
      <c r="B16" s="26" t="s">
        <v>36</v>
      </c>
      <c r="C16" s="26" t="s">
        <v>37</v>
      </c>
      <c r="D16" s="26" t="s">
        <v>300</v>
      </c>
      <c r="E16" s="56" t="n">
        <v>1506.1409920588</v>
      </c>
      <c r="F16" s="56" t="n">
        <v>2258.50182643274</v>
      </c>
      <c r="G16" s="55" t="n">
        <f aca="false">1-E16/F16</f>
        <v>0.33312385474679</v>
      </c>
      <c r="H16" s="26" t="str">
        <f aca="false">IF(E16&lt;F16,"Yes","No")</f>
        <v>Yes</v>
      </c>
      <c r="I16" s="40" t="n">
        <v>11</v>
      </c>
      <c r="J16" s="40" t="n">
        <v>4</v>
      </c>
    </row>
    <row r="17" customFormat="false" ht="21.75" hidden="false" customHeight="true" outlineLevel="0" collapsed="false">
      <c r="A17" s="26" t="s">
        <v>35</v>
      </c>
      <c r="B17" s="26" t="s">
        <v>36</v>
      </c>
      <c r="C17" s="26" t="s">
        <v>37</v>
      </c>
      <c r="D17" s="26" t="s">
        <v>305</v>
      </c>
      <c r="E17" s="56" t="n">
        <v>11.450361598498</v>
      </c>
      <c r="F17" s="56" t="n">
        <v>3.57316386414058</v>
      </c>
      <c r="G17" s="55" t="n">
        <f aca="false">1-E17/F17</f>
        <v>-2.20454421735625</v>
      </c>
      <c r="H17" s="26" t="str">
        <f aca="false">IF(E17&lt;F17,"Yes","No")</f>
        <v>No</v>
      </c>
      <c r="I17" s="40" t="n">
        <v>11</v>
      </c>
      <c r="J17" s="40" t="n">
        <v>4</v>
      </c>
    </row>
    <row r="18" customFormat="false" ht="21.75" hidden="false" customHeight="true" outlineLevel="0" collapsed="false">
      <c r="A18" s="26" t="s">
        <v>35</v>
      </c>
      <c r="B18" s="26" t="s">
        <v>36</v>
      </c>
      <c r="C18" s="26" t="s">
        <v>37</v>
      </c>
      <c r="D18" s="26" t="s">
        <v>328</v>
      </c>
      <c r="E18" s="56" t="n">
        <v>9.91842804525441</v>
      </c>
      <c r="F18" s="56" t="n">
        <v>18.7450837999372</v>
      </c>
      <c r="G18" s="55" t="n">
        <f aca="false">1-E18/F18</f>
        <v>0.470878436655074</v>
      </c>
      <c r="H18" s="26" t="str">
        <f aca="false">IF(E18&lt;F18,"Yes","No")</f>
        <v>Yes</v>
      </c>
      <c r="I18" s="40" t="n">
        <v>11</v>
      </c>
      <c r="J18" s="40" t="n">
        <v>4</v>
      </c>
    </row>
    <row r="19" customFormat="false" ht="21.75" hidden="false" customHeight="true" outlineLevel="0" collapsed="false">
      <c r="A19" s="26" t="s">
        <v>39</v>
      </c>
      <c r="B19" s="26" t="s">
        <v>40</v>
      </c>
      <c r="C19" s="26" t="s">
        <v>37</v>
      </c>
      <c r="D19" s="26" t="s">
        <v>300</v>
      </c>
      <c r="E19" s="56" t="n">
        <v>6012.64117370743</v>
      </c>
      <c r="F19" s="56" t="n">
        <v>1773.49414997626</v>
      </c>
      <c r="G19" s="55" t="n">
        <f aca="false">1-E19/F19</f>
        <v>-2.39027967686723</v>
      </c>
      <c r="H19" s="26" t="str">
        <f aca="false">IF(E19&lt;F19,"Yes","No")</f>
        <v>No</v>
      </c>
      <c r="I19" s="40" t="n">
        <v>11</v>
      </c>
      <c r="J19" s="40" t="n">
        <v>4</v>
      </c>
    </row>
    <row r="20" customFormat="false" ht="21.75" hidden="false" customHeight="true" outlineLevel="0" collapsed="false">
      <c r="A20" s="26" t="s">
        <v>39</v>
      </c>
      <c r="B20" s="26" t="s">
        <v>40</v>
      </c>
      <c r="C20" s="26" t="s">
        <v>37</v>
      </c>
      <c r="D20" s="26" t="s">
        <v>305</v>
      </c>
      <c r="E20" s="56" t="n">
        <v>10.8546298032536</v>
      </c>
      <c r="F20" s="56" t="n">
        <v>13.7614497782755</v>
      </c>
      <c r="G20" s="55" t="n">
        <f aca="false">1-E20/F20</f>
        <v>0.2112291961862</v>
      </c>
      <c r="H20" s="26" t="str">
        <f aca="false">IF(E20&lt;F20,"Yes","No")</f>
        <v>Yes</v>
      </c>
      <c r="I20" s="40" t="n">
        <v>11</v>
      </c>
      <c r="J20" s="40" t="n">
        <v>4</v>
      </c>
    </row>
    <row r="21" customFormat="false" ht="21.75" hidden="false" customHeight="true" outlineLevel="0" collapsed="false">
      <c r="A21" s="26" t="s">
        <v>39</v>
      </c>
      <c r="B21" s="26" t="s">
        <v>40</v>
      </c>
      <c r="C21" s="26" t="s">
        <v>37</v>
      </c>
      <c r="D21" s="26" t="s">
        <v>328</v>
      </c>
      <c r="E21" s="56" t="n">
        <v>7.24277382970029</v>
      </c>
      <c r="F21" s="56" t="n">
        <v>7.1290970676517</v>
      </c>
      <c r="G21" s="55" t="n">
        <f aca="false">1-E21/F21</f>
        <v>-0.0159454641969177</v>
      </c>
      <c r="H21" s="26" t="str">
        <f aca="false">IF(E21&lt;F21,"Yes","No")</f>
        <v>No</v>
      </c>
      <c r="I21" s="40" t="n">
        <v>11</v>
      </c>
      <c r="J21" s="40" t="n">
        <v>4</v>
      </c>
    </row>
    <row r="22" customFormat="false" ht="21.75" hidden="false" customHeight="true" outlineLevel="0" collapsed="false">
      <c r="A22" s="26" t="s">
        <v>42</v>
      </c>
      <c r="B22" s="26" t="s">
        <v>43</v>
      </c>
      <c r="C22" s="26" t="s">
        <v>37</v>
      </c>
      <c r="D22" s="26" t="s">
        <v>300</v>
      </c>
      <c r="E22" s="56" t="n">
        <v>7432.3034994928</v>
      </c>
      <c r="F22" s="56" t="n">
        <v>5233.2783940853</v>
      </c>
      <c r="G22" s="55" t="n">
        <f aca="false">1-E22/F22</f>
        <v>-0.420200291253922</v>
      </c>
      <c r="H22" s="26" t="str">
        <f aca="false">IF(E22&lt;F22,"Yes","No")</f>
        <v>No</v>
      </c>
      <c r="I22" s="40" t="n">
        <v>11</v>
      </c>
      <c r="J22" s="40" t="n">
        <v>4</v>
      </c>
    </row>
    <row r="23" customFormat="false" ht="21.75" hidden="false" customHeight="true" outlineLevel="0" collapsed="false">
      <c r="A23" s="26" t="s">
        <v>42</v>
      </c>
      <c r="B23" s="26" t="s">
        <v>43</v>
      </c>
      <c r="C23" s="26" t="s">
        <v>37</v>
      </c>
      <c r="D23" s="26" t="s">
        <v>305</v>
      </c>
      <c r="E23" s="56" t="n">
        <v>14.6736417092857</v>
      </c>
      <c r="F23" s="56" t="n">
        <v>7.74822560332364</v>
      </c>
      <c r="G23" s="55" t="n">
        <f aca="false">1-E23/F23</f>
        <v>-0.893806719178565</v>
      </c>
      <c r="H23" s="26" t="str">
        <f aca="false">IF(E23&lt;F23,"Yes","No")</f>
        <v>No</v>
      </c>
      <c r="I23" s="40" t="n">
        <v>11</v>
      </c>
      <c r="J23" s="40" t="n">
        <v>4</v>
      </c>
    </row>
    <row r="24" customFormat="false" ht="21.75" hidden="false" customHeight="true" outlineLevel="0" collapsed="false">
      <c r="A24" s="26" t="s">
        <v>42</v>
      </c>
      <c r="B24" s="26" t="s">
        <v>43</v>
      </c>
      <c r="C24" s="26" t="s">
        <v>37</v>
      </c>
      <c r="D24" s="26" t="s">
        <v>328</v>
      </c>
      <c r="E24" s="56" t="n">
        <v>13.4525373044523</v>
      </c>
      <c r="F24" s="56" t="n">
        <v>19.1618677325568</v>
      </c>
      <c r="G24" s="55" t="n">
        <f aca="false">1-E24/F24</f>
        <v>0.297952710445032</v>
      </c>
      <c r="H24" s="26" t="str">
        <f aca="false">IF(E24&lt;F24,"Yes","No")</f>
        <v>Yes</v>
      </c>
      <c r="I24" s="40" t="n">
        <v>11</v>
      </c>
      <c r="J24" s="40" t="n">
        <v>4</v>
      </c>
    </row>
    <row r="25" customFormat="false" ht="21.75" hidden="false" customHeight="true" outlineLevel="0" collapsed="false">
      <c r="A25" s="26" t="s">
        <v>46</v>
      </c>
      <c r="B25" s="26" t="s">
        <v>47</v>
      </c>
      <c r="C25" s="26" t="s">
        <v>29</v>
      </c>
      <c r="D25" s="26" t="s">
        <v>300</v>
      </c>
      <c r="E25" s="56" t="n">
        <v>1716.01153885839</v>
      </c>
      <c r="F25" s="56" t="n">
        <v>828.900325732835</v>
      </c>
      <c r="G25" s="55" t="n">
        <f aca="false">1-E25/F25</f>
        <v>-1.07022664316274</v>
      </c>
      <c r="H25" s="26" t="str">
        <f aca="false">IF(E25&lt;F25,"Yes","No")</f>
        <v>No</v>
      </c>
      <c r="I25" s="40" t="n">
        <v>11</v>
      </c>
      <c r="J25" s="40" t="n">
        <v>4</v>
      </c>
    </row>
    <row r="26" customFormat="false" ht="21.75" hidden="false" customHeight="true" outlineLevel="0" collapsed="false">
      <c r="A26" s="26" t="s">
        <v>46</v>
      </c>
      <c r="B26" s="26" t="s">
        <v>47</v>
      </c>
      <c r="C26" s="26" t="s">
        <v>29</v>
      </c>
      <c r="D26" s="26" t="s">
        <v>305</v>
      </c>
      <c r="E26" s="56" t="n">
        <v>4.5178812314876</v>
      </c>
      <c r="F26" s="56" t="n">
        <v>6.59488438109418</v>
      </c>
      <c r="G26" s="55" t="n">
        <f aca="false">1-E26/F26</f>
        <v>0.31494155614931</v>
      </c>
      <c r="H26" s="26" t="str">
        <f aca="false">IF(E26&lt;F26,"Yes","No")</f>
        <v>Yes</v>
      </c>
      <c r="I26" s="40" t="n">
        <v>11</v>
      </c>
      <c r="J26" s="40" t="n">
        <v>4</v>
      </c>
    </row>
    <row r="27" customFormat="false" ht="21.75" hidden="false" customHeight="true" outlineLevel="0" collapsed="false">
      <c r="A27" s="26" t="s">
        <v>46</v>
      </c>
      <c r="B27" s="26" t="s">
        <v>47</v>
      </c>
      <c r="C27" s="26" t="s">
        <v>29</v>
      </c>
      <c r="D27" s="26" t="s">
        <v>328</v>
      </c>
      <c r="E27" s="56" t="n">
        <v>7.32075787344123</v>
      </c>
      <c r="F27" s="56" t="n">
        <v>12.1275121108989</v>
      </c>
      <c r="G27" s="55" t="n">
        <f aca="false">1-E27/F27</f>
        <v>0.396351221380177</v>
      </c>
      <c r="H27" s="26" t="str">
        <f aca="false">IF(E27&lt;F27,"Yes","No")</f>
        <v>Yes</v>
      </c>
      <c r="I27" s="40" t="n">
        <v>11</v>
      </c>
      <c r="J27" s="40" t="n">
        <v>4</v>
      </c>
    </row>
    <row r="28" customFormat="false" ht="21.75" hidden="false" customHeight="true" outlineLevel="0" collapsed="false">
      <c r="A28" s="26" t="s">
        <v>50</v>
      </c>
      <c r="B28" s="26" t="s">
        <v>51</v>
      </c>
      <c r="C28" s="26" t="s">
        <v>29</v>
      </c>
      <c r="D28" s="26" t="s">
        <v>300</v>
      </c>
      <c r="E28" s="56" t="n">
        <v>3540.18347771508</v>
      </c>
      <c r="F28" s="56" t="n">
        <v>1097.19198411217</v>
      </c>
      <c r="G28" s="55" t="n">
        <f aca="false">1-E28/F28</f>
        <v>-2.22658525488567</v>
      </c>
      <c r="H28" s="26" t="str">
        <f aca="false">IF(E28&lt;F28,"Yes","No")</f>
        <v>No</v>
      </c>
      <c r="I28" s="40" t="n">
        <v>11</v>
      </c>
      <c r="J28" s="40" t="n">
        <v>4</v>
      </c>
    </row>
    <row r="29" customFormat="false" ht="21.75" hidden="false" customHeight="true" outlineLevel="0" collapsed="false">
      <c r="A29" s="26" t="s">
        <v>50</v>
      </c>
      <c r="B29" s="26" t="s">
        <v>51</v>
      </c>
      <c r="C29" s="26" t="s">
        <v>29</v>
      </c>
      <c r="D29" s="26" t="s">
        <v>305</v>
      </c>
      <c r="E29" s="56" t="n">
        <v>3.5006780596128</v>
      </c>
      <c r="F29" s="56" t="n">
        <v>6.88149693017442</v>
      </c>
      <c r="G29" s="55" t="n">
        <f aca="false">1-E29/F29</f>
        <v>0.491291197956827</v>
      </c>
      <c r="H29" s="26" t="str">
        <f aca="false">IF(E29&lt;F29,"Yes","No")</f>
        <v>Yes</v>
      </c>
      <c r="I29" s="40" t="n">
        <v>11</v>
      </c>
      <c r="J29" s="40" t="n">
        <v>4</v>
      </c>
    </row>
    <row r="30" customFormat="false" ht="21.75" hidden="false" customHeight="true" outlineLevel="0" collapsed="false">
      <c r="A30" s="26" t="s">
        <v>50</v>
      </c>
      <c r="B30" s="26" t="s">
        <v>51</v>
      </c>
      <c r="C30" s="26" t="s">
        <v>29</v>
      </c>
      <c r="D30" s="26" t="s">
        <v>328</v>
      </c>
      <c r="E30" s="56" t="n">
        <v>12.3361142781361</v>
      </c>
      <c r="F30" s="56" t="n">
        <v>16.1204257077783</v>
      </c>
      <c r="G30" s="55" t="n">
        <f aca="false">1-E30/F30</f>
        <v>0.234752574047485</v>
      </c>
      <c r="H30" s="26" t="str">
        <f aca="false">IF(E30&lt;F30,"Yes","No")</f>
        <v>Yes</v>
      </c>
      <c r="I30" s="40" t="n">
        <v>11</v>
      </c>
      <c r="J30" s="40" t="n">
        <v>4</v>
      </c>
    </row>
    <row r="31" customFormat="false" ht="21.75" hidden="false" customHeight="true" outlineLevel="0" collapsed="false">
      <c r="A31" s="26" t="s">
        <v>53</v>
      </c>
      <c r="B31" s="26" t="s">
        <v>54</v>
      </c>
      <c r="C31" s="26" t="s">
        <v>29</v>
      </c>
      <c r="D31" s="26" t="s">
        <v>300</v>
      </c>
      <c r="E31" s="56" t="n">
        <v>1974.01736537887</v>
      </c>
      <c r="F31" s="56" t="n">
        <v>2210.91299014683</v>
      </c>
      <c r="G31" s="55" t="n">
        <f aca="false">1-E31/F31</f>
        <v>0.107148325521498</v>
      </c>
      <c r="H31" s="26" t="str">
        <f aca="false">IF(E31&lt;F31,"Yes","No")</f>
        <v>Yes</v>
      </c>
      <c r="I31" s="40" t="n">
        <v>11</v>
      </c>
      <c r="J31" s="40" t="n">
        <v>4</v>
      </c>
    </row>
    <row r="32" customFormat="false" ht="21.75" hidden="false" customHeight="true" outlineLevel="0" collapsed="false">
      <c r="A32" s="26" t="s">
        <v>53</v>
      </c>
      <c r="B32" s="26" t="s">
        <v>54</v>
      </c>
      <c r="C32" s="26" t="s">
        <v>29</v>
      </c>
      <c r="D32" s="26" t="s">
        <v>305</v>
      </c>
      <c r="E32" s="56" t="n">
        <v>9.90162559124066</v>
      </c>
      <c r="F32" s="56" t="n">
        <v>6.96347614342148</v>
      </c>
      <c r="G32" s="55" t="n">
        <f aca="false">1-E32/F32</f>
        <v>-0.421937174380198</v>
      </c>
      <c r="H32" s="26" t="str">
        <f aca="false">IF(E32&lt;F32,"Yes","No")</f>
        <v>No</v>
      </c>
      <c r="I32" s="40" t="n">
        <v>11</v>
      </c>
      <c r="J32" s="40" t="n">
        <v>4</v>
      </c>
    </row>
    <row r="33" customFormat="false" ht="21.75" hidden="false" customHeight="true" outlineLevel="0" collapsed="false">
      <c r="A33" s="26" t="s">
        <v>53</v>
      </c>
      <c r="B33" s="26" t="s">
        <v>54</v>
      </c>
      <c r="C33" s="26" t="s">
        <v>29</v>
      </c>
      <c r="D33" s="26" t="s">
        <v>328</v>
      </c>
      <c r="E33" s="56" t="n">
        <v>6.52139825348485</v>
      </c>
      <c r="F33" s="56" t="n">
        <v>12.0867199851738</v>
      </c>
      <c r="G33" s="55" t="n">
        <f aca="false">1-E33/F33</f>
        <v>0.460449297949788</v>
      </c>
      <c r="H33" s="26" t="str">
        <f aca="false">IF(E33&lt;F33,"Yes","No")</f>
        <v>Yes</v>
      </c>
      <c r="I33" s="40" t="n">
        <v>11</v>
      </c>
      <c r="J33" s="40" t="n">
        <v>4</v>
      </c>
    </row>
    <row r="34" customFormat="false" ht="21.75" hidden="false" customHeight="true" outlineLevel="0" collapsed="false">
      <c r="A34" s="26" t="s">
        <v>55</v>
      </c>
      <c r="B34" s="26" t="s">
        <v>56</v>
      </c>
      <c r="C34" s="26" t="s">
        <v>29</v>
      </c>
      <c r="D34" s="26" t="s">
        <v>300</v>
      </c>
      <c r="E34" s="56" t="n">
        <v>3569.34141445348</v>
      </c>
      <c r="F34" s="56" t="n">
        <v>2007.34943395514</v>
      </c>
      <c r="G34" s="55" t="n">
        <f aca="false">1-E34/F34</f>
        <v>-0.778136558626318</v>
      </c>
      <c r="H34" s="26" t="str">
        <f aca="false">IF(E34&lt;F34,"Yes","No")</f>
        <v>No</v>
      </c>
      <c r="I34" s="40" t="n">
        <v>11</v>
      </c>
      <c r="J34" s="40" t="n">
        <v>4</v>
      </c>
    </row>
    <row r="35" customFormat="false" ht="21.75" hidden="false" customHeight="true" outlineLevel="0" collapsed="false">
      <c r="A35" s="26" t="s">
        <v>55</v>
      </c>
      <c r="B35" s="26" t="s">
        <v>56</v>
      </c>
      <c r="C35" s="26" t="s">
        <v>29</v>
      </c>
      <c r="D35" s="26" t="s">
        <v>305</v>
      </c>
      <c r="E35" s="56" t="n">
        <v>11.0112274351967</v>
      </c>
      <c r="F35" s="56" t="n">
        <v>7.74015503720694</v>
      </c>
      <c r="G35" s="55" t="n">
        <f aca="false">1-E35/F35</f>
        <v>-0.422610707701036</v>
      </c>
      <c r="H35" s="26" t="str">
        <f aca="false">IF(E35&lt;F35,"Yes","No")</f>
        <v>No</v>
      </c>
      <c r="I35" s="40" t="n">
        <v>11</v>
      </c>
      <c r="J35" s="40" t="n">
        <v>4</v>
      </c>
    </row>
    <row r="36" customFormat="false" ht="21.75" hidden="false" customHeight="true" outlineLevel="0" collapsed="false">
      <c r="A36" s="26" t="s">
        <v>55</v>
      </c>
      <c r="B36" s="26" t="s">
        <v>56</v>
      </c>
      <c r="C36" s="26" t="s">
        <v>29</v>
      </c>
      <c r="D36" s="26" t="s">
        <v>328</v>
      </c>
      <c r="E36" s="56" t="n">
        <v>5.57222594265078</v>
      </c>
      <c r="F36" s="56" t="n">
        <v>10.691993499811</v>
      </c>
      <c r="G36" s="55" t="n">
        <f aca="false">1-E36/F36</f>
        <v>0.478841252311902</v>
      </c>
      <c r="H36" s="26" t="str">
        <f aca="false">IF(E36&lt;F36,"Yes","No")</f>
        <v>Yes</v>
      </c>
      <c r="I36" s="40" t="n">
        <v>11</v>
      </c>
      <c r="J36" s="40" t="n">
        <v>4</v>
      </c>
    </row>
    <row r="37" customFormat="false" ht="21.75" hidden="false" customHeight="true" outlineLevel="0" collapsed="false">
      <c r="A37" s="26" t="s">
        <v>57</v>
      </c>
      <c r="B37" s="26" t="s">
        <v>58</v>
      </c>
      <c r="C37" s="26" t="s">
        <v>29</v>
      </c>
      <c r="D37" s="26" t="s">
        <v>300</v>
      </c>
      <c r="E37" s="56" t="n">
        <v>2706.68773595703</v>
      </c>
      <c r="F37" s="56" t="n">
        <v>1116.4911553613</v>
      </c>
      <c r="G37" s="55" t="n">
        <f aca="false">1-E37/F37</f>
        <v>-1.42428049963471</v>
      </c>
      <c r="H37" s="26" t="str">
        <f aca="false">IF(E37&lt;F37,"Yes","No")</f>
        <v>No</v>
      </c>
      <c r="I37" s="40" t="n">
        <v>11</v>
      </c>
      <c r="J37" s="40" t="n">
        <v>4</v>
      </c>
    </row>
    <row r="38" customFormat="false" ht="21.75" hidden="false" customHeight="true" outlineLevel="0" collapsed="false">
      <c r="A38" s="26" t="s">
        <v>57</v>
      </c>
      <c r="B38" s="26" t="s">
        <v>58</v>
      </c>
      <c r="C38" s="26" t="s">
        <v>29</v>
      </c>
      <c r="D38" s="26" t="s">
        <v>305</v>
      </c>
      <c r="E38" s="56" t="n">
        <v>3.94892502787019</v>
      </c>
      <c r="F38" s="56" t="n">
        <v>5.42425110038243</v>
      </c>
      <c r="G38" s="55" t="n">
        <f aca="false">1-E38/F38</f>
        <v>0.271987053182</v>
      </c>
      <c r="H38" s="26" t="str">
        <f aca="false">IF(E38&lt;F38,"Yes","No")</f>
        <v>Yes</v>
      </c>
      <c r="I38" s="40" t="n">
        <v>11</v>
      </c>
      <c r="J38" s="40" t="n">
        <v>4</v>
      </c>
    </row>
    <row r="39" customFormat="false" ht="21.75" hidden="false" customHeight="true" outlineLevel="0" collapsed="false">
      <c r="A39" s="26" t="s">
        <v>57</v>
      </c>
      <c r="B39" s="26" t="s">
        <v>58</v>
      </c>
      <c r="C39" s="26" t="s">
        <v>29</v>
      </c>
      <c r="D39" s="26" t="s">
        <v>328</v>
      </c>
      <c r="E39" s="56" t="n">
        <v>5.08492154353235</v>
      </c>
      <c r="F39" s="56" t="n">
        <v>10.4653392204935</v>
      </c>
      <c r="G39" s="55" t="n">
        <f aca="false">1-E39/F39</f>
        <v>0.514117847840524</v>
      </c>
      <c r="H39" s="26" t="str">
        <f aca="false">IF(E39&lt;F39,"Yes","No")</f>
        <v>Yes</v>
      </c>
      <c r="I39" s="40" t="n">
        <v>11</v>
      </c>
      <c r="J39" s="40" t="n">
        <v>4</v>
      </c>
    </row>
    <row r="40" customFormat="false" ht="21.75" hidden="false" customHeight="true" outlineLevel="0" collapsed="false">
      <c r="A40" s="26" t="s">
        <v>61</v>
      </c>
      <c r="B40" s="26" t="s">
        <v>62</v>
      </c>
      <c r="C40" s="26" t="s">
        <v>37</v>
      </c>
      <c r="D40" s="26" t="s">
        <v>300</v>
      </c>
      <c r="E40" s="56" t="n">
        <v>6737.17614542728</v>
      </c>
      <c r="F40" s="56" t="n">
        <v>1801.35143711603</v>
      </c>
      <c r="G40" s="55" t="n">
        <f aca="false">1-E40/F40</f>
        <v>-2.74006759958708</v>
      </c>
      <c r="H40" s="26" t="str">
        <f aca="false">IF(E40&lt;F40,"Yes","No")</f>
        <v>No</v>
      </c>
      <c r="I40" s="40" t="n">
        <v>11</v>
      </c>
      <c r="J40" s="40" t="n">
        <v>4</v>
      </c>
    </row>
    <row r="41" customFormat="false" ht="21.75" hidden="false" customHeight="true" outlineLevel="0" collapsed="false">
      <c r="A41" s="26" t="s">
        <v>61</v>
      </c>
      <c r="B41" s="26" t="s">
        <v>62</v>
      </c>
      <c r="C41" s="26" t="s">
        <v>37</v>
      </c>
      <c r="D41" s="26" t="s">
        <v>305</v>
      </c>
      <c r="E41" s="56" t="n">
        <v>5.26137445388404</v>
      </c>
      <c r="F41" s="56" t="n">
        <v>3.14722099637125</v>
      </c>
      <c r="G41" s="55" t="n">
        <f aca="false">1-E41/F41</f>
        <v>-0.671752463506824</v>
      </c>
      <c r="H41" s="26" t="str">
        <f aca="false">IF(E41&lt;F41,"Yes","No")</f>
        <v>No</v>
      </c>
      <c r="I41" s="40" t="n">
        <v>11</v>
      </c>
      <c r="J41" s="40" t="n">
        <v>4</v>
      </c>
    </row>
    <row r="42" customFormat="false" ht="21.75" hidden="false" customHeight="true" outlineLevel="0" collapsed="false">
      <c r="A42" s="26" t="s">
        <v>61</v>
      </c>
      <c r="B42" s="26" t="s">
        <v>62</v>
      </c>
      <c r="C42" s="26" t="s">
        <v>37</v>
      </c>
      <c r="D42" s="26" t="s">
        <v>328</v>
      </c>
      <c r="E42" s="56" t="n">
        <v>15.6193036901338</v>
      </c>
      <c r="F42" s="56" t="n">
        <v>8.6634808247032</v>
      </c>
      <c r="G42" s="55" t="n">
        <f aca="false">1-E42/F42</f>
        <v>-0.802890086118347</v>
      </c>
      <c r="H42" s="26" t="str">
        <f aca="false">IF(E42&lt;F42,"Yes","No")</f>
        <v>No</v>
      </c>
      <c r="I42" s="40" t="n">
        <v>11</v>
      </c>
      <c r="J42" s="40" t="n">
        <v>4</v>
      </c>
    </row>
    <row r="43" customFormat="false" ht="21.75" hidden="false" customHeight="true" outlineLevel="0" collapsed="false">
      <c r="A43" s="26" t="s">
        <v>64</v>
      </c>
      <c r="B43" s="26" t="s">
        <v>65</v>
      </c>
      <c r="C43" s="26" t="s">
        <v>29</v>
      </c>
      <c r="D43" s="26" t="s">
        <v>300</v>
      </c>
      <c r="E43" s="56" t="n">
        <v>620.120206735775</v>
      </c>
      <c r="F43" s="56" t="n">
        <v>185.178292464317</v>
      </c>
      <c r="G43" s="55" t="n">
        <f aca="false">1-E43/F43</f>
        <v>-2.34877376005219</v>
      </c>
      <c r="H43" s="26" t="str">
        <f aca="false">IF(E43&lt;F43,"Yes","No")</f>
        <v>No</v>
      </c>
      <c r="I43" s="40" t="n">
        <v>11</v>
      </c>
      <c r="J43" s="40" t="n">
        <v>4</v>
      </c>
    </row>
    <row r="44" customFormat="false" ht="21.75" hidden="false" customHeight="true" outlineLevel="0" collapsed="false">
      <c r="A44" s="26" t="s">
        <v>64</v>
      </c>
      <c r="B44" s="26" t="s">
        <v>65</v>
      </c>
      <c r="C44" s="26" t="s">
        <v>29</v>
      </c>
      <c r="D44" s="26" t="s">
        <v>305</v>
      </c>
      <c r="E44" s="56" t="n">
        <v>10.0683524153365</v>
      </c>
      <c r="F44" s="56" t="n">
        <v>9.59652714961685</v>
      </c>
      <c r="G44" s="55" t="n">
        <f aca="false">1-E44/F44</f>
        <v>-0.0491662513285849</v>
      </c>
      <c r="H44" s="26" t="str">
        <f aca="false">IF(E44&lt;F44,"Yes","No")</f>
        <v>No</v>
      </c>
      <c r="I44" s="40" t="n">
        <v>11</v>
      </c>
      <c r="J44" s="40" t="n">
        <v>4</v>
      </c>
    </row>
    <row r="45" customFormat="false" ht="21.75" hidden="false" customHeight="true" outlineLevel="0" collapsed="false">
      <c r="A45" s="26" t="s">
        <v>64</v>
      </c>
      <c r="B45" s="26" t="s">
        <v>65</v>
      </c>
      <c r="C45" s="26" t="s">
        <v>29</v>
      </c>
      <c r="D45" s="26" t="s">
        <v>328</v>
      </c>
      <c r="E45" s="56" t="n">
        <v>6.80723891121408</v>
      </c>
      <c r="F45" s="56" t="n">
        <v>16.2683911312705</v>
      </c>
      <c r="G45" s="55" t="n">
        <f aca="false">1-E45/F45</f>
        <v>0.581566557117658</v>
      </c>
      <c r="H45" s="26" t="str">
        <f aca="false">IF(E45&lt;F45,"Yes","No")</f>
        <v>Yes</v>
      </c>
      <c r="I45" s="40" t="n">
        <v>11</v>
      </c>
      <c r="J45" s="40" t="n">
        <v>4</v>
      </c>
    </row>
    <row r="46" customFormat="false" ht="21.75" hidden="false" customHeight="true" outlineLevel="0" collapsed="false">
      <c r="A46" s="26" t="s">
        <v>67</v>
      </c>
      <c r="B46" s="26" t="s">
        <v>68</v>
      </c>
      <c r="C46" s="26" t="s">
        <v>37</v>
      </c>
      <c r="D46" s="26" t="s">
        <v>300</v>
      </c>
      <c r="E46" s="56" t="n">
        <v>3227.80203305215</v>
      </c>
      <c r="F46" s="56" t="n">
        <v>936.011618517634</v>
      </c>
      <c r="G46" s="55" t="n">
        <f aca="false">1-E46/F46</f>
        <v>-2.44846363997493</v>
      </c>
      <c r="H46" s="26" t="str">
        <f aca="false">IF(E46&lt;F46,"Yes","No")</f>
        <v>No</v>
      </c>
      <c r="I46" s="40" t="n">
        <v>11</v>
      </c>
      <c r="J46" s="40" t="n">
        <v>4</v>
      </c>
    </row>
    <row r="47" customFormat="false" ht="21.75" hidden="false" customHeight="true" outlineLevel="0" collapsed="false">
      <c r="A47" s="26" t="s">
        <v>67</v>
      </c>
      <c r="B47" s="26" t="s">
        <v>68</v>
      </c>
      <c r="C47" s="26" t="s">
        <v>37</v>
      </c>
      <c r="D47" s="26" t="s">
        <v>305</v>
      </c>
      <c r="E47" s="56" t="n">
        <v>8.05553313379639</v>
      </c>
      <c r="F47" s="56" t="n">
        <v>9.6723833670921</v>
      </c>
      <c r="G47" s="55" t="n">
        <f aca="false">1-E47/F47</f>
        <v>0.16716151251786</v>
      </c>
      <c r="H47" s="26" t="str">
        <f aca="false">IF(E47&lt;F47,"Yes","No")</f>
        <v>Yes</v>
      </c>
      <c r="I47" s="40" t="n">
        <v>11</v>
      </c>
      <c r="J47" s="40" t="n">
        <v>4</v>
      </c>
    </row>
    <row r="48" customFormat="false" ht="21.75" hidden="false" customHeight="true" outlineLevel="0" collapsed="false">
      <c r="A48" s="26" t="s">
        <v>67</v>
      </c>
      <c r="B48" s="26" t="s">
        <v>68</v>
      </c>
      <c r="C48" s="26" t="s">
        <v>37</v>
      </c>
      <c r="D48" s="26" t="s">
        <v>328</v>
      </c>
      <c r="E48" s="56" t="n">
        <v>32.7358586283919</v>
      </c>
      <c r="F48" s="56" t="n">
        <v>14.540720408563</v>
      </c>
      <c r="G48" s="55" t="n">
        <f aca="false">1-E48/F48</f>
        <v>-1.25132302310921</v>
      </c>
      <c r="H48" s="26" t="str">
        <f aca="false">IF(E48&lt;F48,"Yes","No")</f>
        <v>No</v>
      </c>
      <c r="I48" s="40" t="n">
        <v>11</v>
      </c>
      <c r="J48" s="40" t="n">
        <v>4</v>
      </c>
    </row>
    <row r="50" customFormat="false" ht="27.75" hidden="false" customHeight="true" outlineLevel="0" collapsed="false">
      <c r="A50" s="5" t="s">
        <v>329</v>
      </c>
      <c r="B50" s="5" t="s">
        <v>330</v>
      </c>
      <c r="C50" s="5" t="s">
        <v>331</v>
      </c>
      <c r="D50" s="5" t="s">
        <v>332</v>
      </c>
      <c r="E50" s="5" t="s">
        <v>333</v>
      </c>
    </row>
    <row r="51" customFormat="false" ht="21.75" hidden="false" customHeight="true" outlineLevel="0" collapsed="false">
      <c r="A51" s="26" t="s">
        <v>334</v>
      </c>
      <c r="B51" s="40" t="n">
        <f aca="false">COUNTA(A4:A48)</f>
        <v>45</v>
      </c>
      <c r="C51" s="57" t="n">
        <f aca="false">COUNTIF(H4:H48,"Yes")</f>
        <v>19</v>
      </c>
      <c r="D51" s="58" t="n">
        <f aca="false">C51/B51</f>
        <v>0.422222222222222</v>
      </c>
      <c r="E51" s="55" t="n">
        <f aca="false">MEDIAN(G4:G48)</f>
        <v>-0.417339256295977</v>
      </c>
    </row>
    <row r="52" customFormat="false" ht="21.75" hidden="false" customHeight="true" outlineLevel="0" collapsed="false">
      <c r="A52" s="26" t="s">
        <v>180</v>
      </c>
      <c r="B52" s="40" t="n">
        <f aca="false">COUNTIF(D4:D48,"international_arrivals")</f>
        <v>15</v>
      </c>
      <c r="C52" s="40" t="n">
        <f aca="false">COUNTIFS(D4:D48,"international_arrivals",H4:H48,"Yes")</f>
        <v>2</v>
      </c>
      <c r="D52" s="58" t="n">
        <f aca="false">C52/B52</f>
        <v>0.133333333333333</v>
      </c>
      <c r="E52" s="55" t="n">
        <v>-1.09719907168807</v>
      </c>
    </row>
    <row r="53" customFormat="false" ht="21.75" hidden="false" customHeight="true" outlineLevel="0" collapsed="false">
      <c r="A53" s="26" t="s">
        <v>335</v>
      </c>
      <c r="B53" s="40" t="n">
        <f aca="false">COUNTIF(D4:D48,"occupancy_rate_pct")</f>
        <v>15</v>
      </c>
      <c r="C53" s="40" t="n">
        <f aca="false">COUNTIFS(D4:D48,"occupancy_rate_pct",H4:H48,"Yes")</f>
        <v>6</v>
      </c>
      <c r="D53" s="58" t="n">
        <f aca="false">C53/B53</f>
        <v>0.4</v>
      </c>
      <c r="E53" s="55" t="n">
        <v>-0.421937174380199</v>
      </c>
    </row>
    <row r="54" customFormat="false" ht="21.75" hidden="false" customHeight="true" outlineLevel="0" collapsed="false">
      <c r="A54" s="26" t="s">
        <v>336</v>
      </c>
      <c r="B54" s="40" t="n">
        <f aca="false">COUNTIF(D4:D48,"avg_daily_rate_usd")</f>
        <v>15</v>
      </c>
      <c r="C54" s="40" t="n">
        <f aca="false">COUNTIFS(D4:D48,"avg_daily_rate_usd",H4:H48,"Yes")</f>
        <v>11</v>
      </c>
      <c r="D54" s="58" t="n">
        <f aca="false">C54/B54</f>
        <v>0.733333333333333</v>
      </c>
      <c r="E54" s="55" t="n">
        <v>0.340037057409387</v>
      </c>
    </row>
    <row r="55" customFormat="false" ht="21.75" hidden="false" customHeight="true" outlineLevel="0" collapsed="false">
      <c r="A55" s="26" t="s">
        <v>337</v>
      </c>
      <c r="B55" s="40" t="n">
        <f aca="false">COUNTIF(C4:C48,"Scale Now")</f>
        <v>15</v>
      </c>
      <c r="C55" s="40" t="n">
        <f aca="false">COUNTIFS(C4:C48,"Scale Now",H4:H48,"Yes")</f>
        <v>5</v>
      </c>
      <c r="D55" s="58" t="n">
        <f aca="false">C55/B55</f>
        <v>0.333333333333333</v>
      </c>
      <c r="E55" s="55" t="n">
        <v>-0.671752463506829</v>
      </c>
    </row>
    <row r="57" customFormat="false" ht="27.75" hidden="false" customHeight="true" outlineLevel="0" collapsed="false">
      <c r="A57" s="5" t="s">
        <v>338</v>
      </c>
      <c r="B57" s="5" t="s">
        <v>339</v>
      </c>
      <c r="C57" s="5" t="s">
        <v>247</v>
      </c>
      <c r="D57" s="5" t="s">
        <v>340</v>
      </c>
      <c r="E57" s="5" t="s">
        <v>341</v>
      </c>
      <c r="F57" s="5" t="s">
        <v>342</v>
      </c>
      <c r="G57" s="5" t="s">
        <v>343</v>
      </c>
      <c r="H57" s="5" t="s">
        <v>344</v>
      </c>
    </row>
    <row r="58" customFormat="false" ht="36" hidden="false" customHeight="true" outlineLevel="0" collapsed="false">
      <c r="A58" s="30" t="s">
        <v>345</v>
      </c>
      <c r="B58" s="59" t="s">
        <v>346</v>
      </c>
      <c r="C58" s="46" t="n">
        <v>8.36553675420766</v>
      </c>
      <c r="D58" s="60" t="n">
        <v>0.0567603375879701</v>
      </c>
      <c r="E58" s="46" t="n">
        <v>-0.451187361340729</v>
      </c>
      <c r="F58" s="46" t="n">
        <v>-0.640627456826771</v>
      </c>
      <c r="G58" s="46" t="n">
        <v>-0.228443609182965</v>
      </c>
      <c r="H58" s="26" t="s">
        <v>347</v>
      </c>
    </row>
    <row r="59" customFormat="false" ht="36" hidden="false" customHeight="true" outlineLevel="0" collapsed="false">
      <c r="A59" s="30" t="s">
        <v>348</v>
      </c>
      <c r="B59" s="30" t="s">
        <v>346</v>
      </c>
      <c r="C59" s="46" t="n">
        <v>8.51472192920379</v>
      </c>
      <c r="D59" s="60" t="n">
        <v>0.0478653574657103</v>
      </c>
      <c r="E59" s="46" t="n">
        <v>-0.434147506037071</v>
      </c>
      <c r="F59" s="46" t="n">
        <v>-0.69934568505213</v>
      </c>
      <c r="G59" s="46" t="n">
        <v>-0.207970281489787</v>
      </c>
      <c r="H59" s="32" t="s">
        <v>349</v>
      </c>
    </row>
    <row r="60" customFormat="false" ht="35.25" hidden="false" customHeight="true" outlineLevel="0" collapsed="false">
      <c r="A60" s="30" t="s">
        <v>345</v>
      </c>
      <c r="B60" s="59" t="s">
        <v>350</v>
      </c>
      <c r="C60" s="46" t="n">
        <v>48.8435897435897</v>
      </c>
      <c r="D60" s="60" t="n">
        <v>0.682692307692306</v>
      </c>
      <c r="E60" s="46" t="n">
        <v>-5.11602564102563</v>
      </c>
      <c r="F60" s="46" t="n">
        <v>-11.198717948718</v>
      </c>
      <c r="G60" s="46" t="n">
        <v>-2.29935897435897</v>
      </c>
      <c r="H60" s="26" t="s">
        <v>351</v>
      </c>
    </row>
    <row r="61" customFormat="false" ht="38.25" hidden="false" customHeight="true" outlineLevel="0" collapsed="false">
      <c r="A61" s="30" t="s">
        <v>348</v>
      </c>
      <c r="B61" s="30" t="s">
        <v>350</v>
      </c>
      <c r="C61" s="46" t="n">
        <v>48.7455882352941</v>
      </c>
      <c r="D61" s="60" t="n">
        <v>0.979411764705881</v>
      </c>
      <c r="E61" s="46" t="n">
        <v>-11.6794117647059</v>
      </c>
      <c r="F61" s="46" t="n">
        <v>-17.9838235294117</v>
      </c>
      <c r="G61" s="46" t="n">
        <v>-7.65441176470587</v>
      </c>
      <c r="H61" s="26" t="s">
        <v>352</v>
      </c>
    </row>
    <row r="62" customFormat="false" ht="30" hidden="false" customHeight="true" outlineLevel="0" collapsed="false">
      <c r="A62" s="34" t="s">
        <v>353</v>
      </c>
      <c r="B62" s="34"/>
      <c r="C62" s="34"/>
      <c r="D62" s="34"/>
      <c r="E62" s="34"/>
      <c r="F62" s="34"/>
      <c r="G62" s="34"/>
      <c r="H62" s="34"/>
      <c r="I62" s="34"/>
      <c r="J62" s="34"/>
    </row>
  </sheetData>
  <mergeCells count="3">
    <mergeCell ref="A1:J1"/>
    <mergeCell ref="A2:J2"/>
    <mergeCell ref="A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3" activeCellId="0" sqref="A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27" hidden="false" customHeight="true" outlineLevel="0" collapsed="false">
      <c r="A1" s="2" t="s">
        <v>354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15"/>
      <c r="B2" s="15"/>
      <c r="C2" s="15"/>
      <c r="D2" s="15"/>
      <c r="E2" s="15"/>
      <c r="F2" s="15"/>
    </row>
    <row r="3" customFormat="false" ht="24" hidden="false" customHeight="true" outlineLevel="0" collapsed="false">
      <c r="A3" s="5" t="s">
        <v>2</v>
      </c>
      <c r="B3" s="5" t="s">
        <v>3</v>
      </c>
      <c r="C3" s="5" t="s">
        <v>240</v>
      </c>
      <c r="D3" s="5" t="s">
        <v>179</v>
      </c>
      <c r="E3" s="5" t="s">
        <v>355</v>
      </c>
      <c r="F3" s="5" t="s">
        <v>356</v>
      </c>
    </row>
    <row r="4" customFormat="false" ht="21.75" hidden="false" customHeight="true" outlineLevel="0" collapsed="false">
      <c r="A4" s="6" t="s">
        <v>35</v>
      </c>
      <c r="B4" s="6" t="s">
        <v>36</v>
      </c>
      <c r="C4" s="6" t="s">
        <v>300</v>
      </c>
      <c r="D4" s="6" t="s">
        <v>357</v>
      </c>
      <c r="E4" s="42" t="n">
        <v>14751.5710882098</v>
      </c>
      <c r="F4" s="6" t="s">
        <v>358</v>
      </c>
    </row>
    <row r="5" customFormat="false" ht="21.75" hidden="false" customHeight="true" outlineLevel="0" collapsed="false">
      <c r="A5" s="9" t="s">
        <v>35</v>
      </c>
      <c r="B5" s="9" t="s">
        <v>36</v>
      </c>
      <c r="C5" s="9" t="s">
        <v>300</v>
      </c>
      <c r="D5" s="9" t="s">
        <v>359</v>
      </c>
      <c r="E5" s="43" t="n">
        <v>19052.0921792035</v>
      </c>
      <c r="F5" s="9" t="s">
        <v>358</v>
      </c>
    </row>
    <row r="6" customFormat="false" ht="21.75" hidden="false" customHeight="true" outlineLevel="0" collapsed="false">
      <c r="A6" s="6" t="s">
        <v>35</v>
      </c>
      <c r="B6" s="6" t="s">
        <v>36</v>
      </c>
      <c r="C6" s="6" t="s">
        <v>300</v>
      </c>
      <c r="D6" s="6" t="s">
        <v>360</v>
      </c>
      <c r="E6" s="42" t="n">
        <v>12947.6080061541</v>
      </c>
      <c r="F6" s="6" t="s">
        <v>358</v>
      </c>
    </row>
    <row r="7" customFormat="false" ht="21.75" hidden="false" customHeight="true" outlineLevel="0" collapsed="false">
      <c r="A7" s="9" t="s">
        <v>35</v>
      </c>
      <c r="B7" s="9" t="s">
        <v>36</v>
      </c>
      <c r="C7" s="9" t="s">
        <v>300</v>
      </c>
      <c r="D7" s="9" t="s">
        <v>361</v>
      </c>
      <c r="E7" s="43" t="n">
        <v>10418.5253920061</v>
      </c>
      <c r="F7" s="9" t="s">
        <v>358</v>
      </c>
    </row>
    <row r="8" customFormat="false" ht="21.75" hidden="false" customHeight="true" outlineLevel="0" collapsed="false">
      <c r="A8" s="6" t="s">
        <v>35</v>
      </c>
      <c r="B8" s="6" t="s">
        <v>36</v>
      </c>
      <c r="C8" s="6" t="s">
        <v>300</v>
      </c>
      <c r="D8" s="6" t="s">
        <v>362</v>
      </c>
      <c r="E8" s="42" t="n">
        <v>17864.2302367741</v>
      </c>
      <c r="F8" s="6" t="s">
        <v>358</v>
      </c>
    </row>
    <row r="9" customFormat="false" ht="21.75" hidden="false" customHeight="true" outlineLevel="0" collapsed="false">
      <c r="A9" s="9" t="s">
        <v>35</v>
      </c>
      <c r="B9" s="9" t="s">
        <v>36</v>
      </c>
      <c r="C9" s="9" t="s">
        <v>300</v>
      </c>
      <c r="D9" s="9" t="s">
        <v>363</v>
      </c>
      <c r="E9" s="43" t="n">
        <v>23072.1224048117</v>
      </c>
      <c r="F9" s="9" t="s">
        <v>358</v>
      </c>
    </row>
    <row r="10" customFormat="false" ht="21.75" hidden="false" customHeight="true" outlineLevel="0" collapsed="false">
      <c r="A10" s="6" t="s">
        <v>35</v>
      </c>
      <c r="B10" s="6" t="s">
        <v>36</v>
      </c>
      <c r="C10" s="6" t="s">
        <v>300</v>
      </c>
      <c r="D10" s="6" t="s">
        <v>364</v>
      </c>
      <c r="E10" s="42" t="n">
        <v>15679.6472507397</v>
      </c>
      <c r="F10" s="6" t="s">
        <v>358</v>
      </c>
    </row>
    <row r="11" customFormat="false" ht="21.75" hidden="false" customHeight="true" outlineLevel="0" collapsed="false">
      <c r="A11" s="9" t="s">
        <v>35</v>
      </c>
      <c r="B11" s="9" t="s">
        <v>36</v>
      </c>
      <c r="C11" s="9" t="s">
        <v>300</v>
      </c>
      <c r="D11" s="9" t="s">
        <v>365</v>
      </c>
      <c r="E11" s="43" t="n">
        <v>12616.9510658227</v>
      </c>
      <c r="F11" s="9" t="s">
        <v>358</v>
      </c>
    </row>
    <row r="12" customFormat="false" ht="21.75" hidden="false" customHeight="true" outlineLevel="0" collapsed="false">
      <c r="A12" s="6" t="s">
        <v>39</v>
      </c>
      <c r="B12" s="6" t="s">
        <v>40</v>
      </c>
      <c r="C12" s="6" t="s">
        <v>305</v>
      </c>
      <c r="D12" s="6" t="s">
        <v>357</v>
      </c>
      <c r="E12" s="42" t="n">
        <v>67.535294117647</v>
      </c>
      <c r="F12" s="6" t="s">
        <v>358</v>
      </c>
    </row>
    <row r="13" customFormat="false" ht="21.75" hidden="false" customHeight="true" outlineLevel="0" collapsed="false">
      <c r="A13" s="9" t="s">
        <v>39</v>
      </c>
      <c r="B13" s="9" t="s">
        <v>40</v>
      </c>
      <c r="C13" s="9" t="s">
        <v>305</v>
      </c>
      <c r="D13" s="9" t="s">
        <v>359</v>
      </c>
      <c r="E13" s="43" t="n">
        <v>76.1691176470587</v>
      </c>
      <c r="F13" s="9" t="s">
        <v>358</v>
      </c>
    </row>
    <row r="14" customFormat="false" ht="21.75" hidden="false" customHeight="true" outlineLevel="0" collapsed="false">
      <c r="A14" s="6" t="s">
        <v>39</v>
      </c>
      <c r="B14" s="6" t="s">
        <v>40</v>
      </c>
      <c r="C14" s="6" t="s">
        <v>305</v>
      </c>
      <c r="D14" s="6" t="s">
        <v>360</v>
      </c>
      <c r="E14" s="42" t="n">
        <v>65.4691176470588</v>
      </c>
      <c r="F14" s="6" t="s">
        <v>358</v>
      </c>
    </row>
    <row r="15" customFormat="false" ht="21.75" hidden="false" customHeight="true" outlineLevel="0" collapsed="false">
      <c r="A15" s="9" t="s">
        <v>39</v>
      </c>
      <c r="B15" s="9" t="s">
        <v>40</v>
      </c>
      <c r="C15" s="9" t="s">
        <v>305</v>
      </c>
      <c r="D15" s="9" t="s">
        <v>361</v>
      </c>
      <c r="E15" s="43" t="n">
        <v>60.1441176470588</v>
      </c>
      <c r="F15" s="9" t="s">
        <v>358</v>
      </c>
    </row>
    <row r="16" customFormat="false" ht="21.75" hidden="false" customHeight="true" outlineLevel="0" collapsed="false">
      <c r="A16" s="6" t="s">
        <v>39</v>
      </c>
      <c r="B16" s="6" t="s">
        <v>40</v>
      </c>
      <c r="C16" s="6" t="s">
        <v>305</v>
      </c>
      <c r="D16" s="6" t="s">
        <v>362</v>
      </c>
      <c r="E16" s="42" t="n">
        <v>71.4529411764705</v>
      </c>
      <c r="F16" s="6" t="s">
        <v>358</v>
      </c>
    </row>
    <row r="17" customFormat="false" ht="21.75" hidden="false" customHeight="true" outlineLevel="0" collapsed="false">
      <c r="A17" s="9" t="s">
        <v>39</v>
      </c>
      <c r="B17" s="9" t="s">
        <v>40</v>
      </c>
      <c r="C17" s="9" t="s">
        <v>305</v>
      </c>
      <c r="D17" s="9" t="s">
        <v>363</v>
      </c>
      <c r="E17" s="43" t="n">
        <v>80.0867647058823</v>
      </c>
      <c r="F17" s="9" t="s">
        <v>358</v>
      </c>
    </row>
    <row r="18" customFormat="false" ht="21.75" hidden="false" customHeight="true" outlineLevel="0" collapsed="false">
      <c r="A18" s="6" t="s">
        <v>39</v>
      </c>
      <c r="B18" s="6" t="s">
        <v>40</v>
      </c>
      <c r="C18" s="6" t="s">
        <v>305</v>
      </c>
      <c r="D18" s="6" t="s">
        <v>364</v>
      </c>
      <c r="E18" s="42" t="n">
        <v>69.3867647058823</v>
      </c>
      <c r="F18" s="6" t="s">
        <v>358</v>
      </c>
    </row>
    <row r="19" customFormat="false" ht="21.75" hidden="false" customHeight="true" outlineLevel="0" collapsed="false">
      <c r="A19" s="9" t="s">
        <v>39</v>
      </c>
      <c r="B19" s="9" t="s">
        <v>40</v>
      </c>
      <c r="C19" s="9" t="s">
        <v>305</v>
      </c>
      <c r="D19" s="9" t="s">
        <v>365</v>
      </c>
      <c r="E19" s="43" t="n">
        <v>64.0617647058823</v>
      </c>
      <c r="F19" s="9" t="s">
        <v>358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12" min="4" style="1" width="8"/>
    <col collapsed="false" customWidth="true" hidden="false" outlineLevel="0" max="13" min="13" style="1" width="14"/>
  </cols>
  <sheetData>
    <row r="1" customFormat="false" ht="27" hidden="false" customHeight="true" outlineLevel="0" collapsed="false">
      <c r="A1" s="2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24" hidden="false" customHeight="true" outlineLevel="0" collapsed="false">
      <c r="A3" s="5" t="s">
        <v>2</v>
      </c>
      <c r="B3" s="5" t="s">
        <v>3</v>
      </c>
      <c r="C3" s="5" t="s">
        <v>72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123</v>
      </c>
      <c r="L3" s="5" t="s">
        <v>124</v>
      </c>
      <c r="M3" s="5" t="s">
        <v>367</v>
      </c>
    </row>
    <row r="4" customFormat="false" ht="21.75" hidden="false" customHeight="true" outlineLevel="0" collapsed="false">
      <c r="A4" s="6" t="s">
        <v>42</v>
      </c>
      <c r="B4" s="6" t="s">
        <v>43</v>
      </c>
      <c r="C4" s="61" t="s">
        <v>37</v>
      </c>
      <c r="D4" s="18" t="n">
        <v>1.5</v>
      </c>
      <c r="E4" s="18" t="n">
        <v>0</v>
      </c>
      <c r="F4" s="18" t="n">
        <v>0</v>
      </c>
      <c r="G4" s="18" t="n">
        <v>1</v>
      </c>
      <c r="H4" s="18" t="n">
        <v>1</v>
      </c>
      <c r="I4" s="18" t="n">
        <v>0.5</v>
      </c>
      <c r="J4" s="18" t="n">
        <v>0.5</v>
      </c>
      <c r="K4" s="18" t="n">
        <v>1.5</v>
      </c>
      <c r="L4" s="62" t="n">
        <v>0.5</v>
      </c>
      <c r="M4" s="18" t="n">
        <f aca="false">SUM(D4:L4)</f>
        <v>6.5</v>
      </c>
    </row>
    <row r="5" customFormat="false" ht="21.75" hidden="false" customHeight="true" outlineLevel="0" collapsed="false">
      <c r="A5" s="9" t="s">
        <v>39</v>
      </c>
      <c r="B5" s="9" t="s">
        <v>40</v>
      </c>
      <c r="C5" s="61" t="s">
        <v>37</v>
      </c>
      <c r="D5" s="20" t="n">
        <v>1</v>
      </c>
      <c r="E5" s="20" t="n">
        <v>1.5</v>
      </c>
      <c r="F5" s="20" t="n">
        <v>0</v>
      </c>
      <c r="G5" s="20" t="n">
        <v>1</v>
      </c>
      <c r="H5" s="20" t="n">
        <v>1</v>
      </c>
      <c r="I5" s="20" t="n">
        <v>0</v>
      </c>
      <c r="J5" s="20" t="n">
        <v>1</v>
      </c>
      <c r="K5" s="20" t="n">
        <v>1</v>
      </c>
      <c r="L5" s="62" t="n">
        <v>0.25</v>
      </c>
      <c r="M5" s="20" t="n">
        <f aca="false">SUM(D5:L5)</f>
        <v>6.75</v>
      </c>
    </row>
    <row r="6" customFormat="false" ht="21.75" hidden="false" customHeight="true" outlineLevel="0" collapsed="false">
      <c r="A6" s="6" t="s">
        <v>35</v>
      </c>
      <c r="B6" s="6" t="s">
        <v>36</v>
      </c>
      <c r="C6" s="61" t="s">
        <v>37</v>
      </c>
      <c r="D6" s="18" t="n">
        <v>0</v>
      </c>
      <c r="E6" s="18" t="n">
        <v>1</v>
      </c>
      <c r="F6" s="18" t="n">
        <v>0</v>
      </c>
      <c r="G6" s="18" t="n">
        <v>1</v>
      </c>
      <c r="H6" s="18" t="n">
        <v>1</v>
      </c>
      <c r="I6" s="18" t="n">
        <v>0.5</v>
      </c>
      <c r="J6" s="18" t="n">
        <v>0</v>
      </c>
      <c r="K6" s="18" t="n">
        <v>1.5</v>
      </c>
      <c r="L6" s="62" t="n">
        <v>0.25</v>
      </c>
      <c r="M6" s="18" t="n">
        <f aca="false">SUM(D6:L6)</f>
        <v>5.25</v>
      </c>
    </row>
    <row r="7" customFormat="false" ht="21.75" hidden="false" customHeight="true" outlineLevel="0" collapsed="false">
      <c r="A7" s="9" t="s">
        <v>61</v>
      </c>
      <c r="B7" s="9" t="s">
        <v>62</v>
      </c>
      <c r="C7" s="61" t="s">
        <v>37</v>
      </c>
      <c r="D7" s="20" t="n">
        <v>0</v>
      </c>
      <c r="E7" s="20" t="n">
        <v>2</v>
      </c>
      <c r="F7" s="20" t="n">
        <v>1</v>
      </c>
      <c r="G7" s="20" t="n">
        <v>1</v>
      </c>
      <c r="H7" s="20" t="n">
        <v>1</v>
      </c>
      <c r="I7" s="20" t="n">
        <v>0.5</v>
      </c>
      <c r="J7" s="20" t="n">
        <v>0.5</v>
      </c>
      <c r="K7" s="20" t="n">
        <v>0</v>
      </c>
      <c r="L7" s="62" t="n">
        <v>0.25</v>
      </c>
      <c r="M7" s="20" t="n">
        <f aca="false">SUM(D7:L7)</f>
        <v>6.25</v>
      </c>
    </row>
    <row r="8" customFormat="false" ht="21.75" hidden="false" customHeight="true" outlineLevel="0" collapsed="false">
      <c r="A8" s="6" t="s">
        <v>67</v>
      </c>
      <c r="B8" s="6" t="s">
        <v>68</v>
      </c>
      <c r="C8" s="61" t="s">
        <v>37</v>
      </c>
      <c r="D8" s="18" t="n">
        <v>0</v>
      </c>
      <c r="E8" s="18" t="n">
        <v>2</v>
      </c>
      <c r="F8" s="18" t="n">
        <v>0.5</v>
      </c>
      <c r="G8" s="18" t="n">
        <v>1</v>
      </c>
      <c r="H8" s="18" t="n">
        <v>1</v>
      </c>
      <c r="I8" s="18" t="n">
        <v>0.5</v>
      </c>
      <c r="J8" s="18" t="n">
        <v>0.5</v>
      </c>
      <c r="K8" s="18" t="n">
        <v>0</v>
      </c>
      <c r="L8" s="18" t="n">
        <v>0</v>
      </c>
      <c r="M8" s="18" t="n">
        <f aca="false">SUM(D8:L8)</f>
        <v>5.5</v>
      </c>
    </row>
    <row r="9" customFormat="false" ht="21.75" hidden="false" customHeight="true" outlineLevel="0" collapsed="false">
      <c r="A9" s="9" t="s">
        <v>50</v>
      </c>
      <c r="B9" s="9" t="s">
        <v>51</v>
      </c>
      <c r="C9" s="13" t="s">
        <v>29</v>
      </c>
      <c r="D9" s="20" t="n">
        <v>0</v>
      </c>
      <c r="E9" s="20" t="n">
        <v>0</v>
      </c>
      <c r="F9" s="20" t="n">
        <v>0.5</v>
      </c>
      <c r="G9" s="20" t="n">
        <v>0.25</v>
      </c>
      <c r="H9" s="20" t="n">
        <v>0</v>
      </c>
      <c r="I9" s="20" t="n">
        <v>0.25</v>
      </c>
      <c r="J9" s="20" t="n">
        <v>0</v>
      </c>
      <c r="K9" s="20" t="n">
        <v>0.25</v>
      </c>
      <c r="L9" s="62" t="n">
        <v>0.25</v>
      </c>
      <c r="M9" s="20" t="n">
        <f aca="false">SUM(D9:L9)</f>
        <v>1.5</v>
      </c>
    </row>
    <row r="10" customFormat="false" ht="21.75" hidden="false" customHeight="true" outlineLevel="0" collapsed="false">
      <c r="A10" s="6" t="s">
        <v>53</v>
      </c>
      <c r="B10" s="6" t="s">
        <v>54</v>
      </c>
      <c r="C10" s="13" t="s">
        <v>29</v>
      </c>
      <c r="D10" s="18" t="n">
        <v>0</v>
      </c>
      <c r="E10" s="18" t="n">
        <v>0</v>
      </c>
      <c r="F10" s="18" t="n">
        <v>0.5</v>
      </c>
      <c r="G10" s="18" t="n">
        <v>0.5</v>
      </c>
      <c r="H10" s="18" t="n">
        <v>0.5</v>
      </c>
      <c r="I10" s="18" t="n">
        <v>0.25</v>
      </c>
      <c r="J10" s="18" t="n">
        <v>0</v>
      </c>
      <c r="K10" s="18" t="n">
        <v>0.25</v>
      </c>
      <c r="L10" s="18" t="n">
        <v>0</v>
      </c>
      <c r="M10" s="18" t="n">
        <f aca="false">SUM(D10:L10)</f>
        <v>2</v>
      </c>
    </row>
    <row r="11" customFormat="false" ht="21.75" hidden="false" customHeight="true" outlineLevel="0" collapsed="false">
      <c r="A11" s="9" t="s">
        <v>27</v>
      </c>
      <c r="B11" s="9" t="s">
        <v>28</v>
      </c>
      <c r="C11" s="13" t="s">
        <v>29</v>
      </c>
      <c r="D11" s="20" t="n">
        <v>0</v>
      </c>
      <c r="E11" s="20" t="n">
        <v>0</v>
      </c>
      <c r="F11" s="20" t="n">
        <v>0</v>
      </c>
      <c r="G11" s="20" t="n">
        <v>0.25</v>
      </c>
      <c r="H11" s="20" t="n">
        <v>0.25</v>
      </c>
      <c r="I11" s="20" t="n">
        <v>0.25</v>
      </c>
      <c r="J11" s="20" t="n">
        <v>0.25</v>
      </c>
      <c r="K11" s="20" t="n">
        <v>0.25</v>
      </c>
      <c r="L11" s="20" t="n">
        <v>0.25</v>
      </c>
      <c r="M11" s="20" t="n">
        <f aca="false">SUM(D11:L11)</f>
        <v>1.5</v>
      </c>
    </row>
    <row r="12" customFormat="false" ht="21.75" hidden="false" customHeight="true" outlineLevel="0" collapsed="false">
      <c r="A12" s="6" t="s">
        <v>55</v>
      </c>
      <c r="B12" s="6" t="s">
        <v>56</v>
      </c>
      <c r="C12" s="13" t="s">
        <v>29</v>
      </c>
      <c r="D12" s="18" t="n">
        <v>0</v>
      </c>
      <c r="E12" s="18" t="n">
        <v>0.5</v>
      </c>
      <c r="F12" s="18" t="n">
        <v>0.75</v>
      </c>
      <c r="G12" s="18" t="n">
        <v>0.5</v>
      </c>
      <c r="H12" s="18" t="n">
        <v>0.5</v>
      </c>
      <c r="I12" s="18" t="n">
        <v>0.25</v>
      </c>
      <c r="J12" s="18" t="n">
        <v>0</v>
      </c>
      <c r="K12" s="18" t="n">
        <v>0</v>
      </c>
      <c r="L12" s="18" t="n">
        <v>0.5</v>
      </c>
      <c r="M12" s="18" t="n">
        <f aca="false">SUM(D12:L12)</f>
        <v>3</v>
      </c>
    </row>
    <row r="13" customFormat="false" ht="21.75" hidden="false" customHeight="true" outlineLevel="0" collapsed="false">
      <c r="A13" s="9" t="s">
        <v>31</v>
      </c>
      <c r="B13" s="9" t="s">
        <v>32</v>
      </c>
      <c r="C13" s="13" t="s">
        <v>29</v>
      </c>
      <c r="D13" s="20" t="n">
        <v>0</v>
      </c>
      <c r="E13" s="20" t="n">
        <v>0.25</v>
      </c>
      <c r="F13" s="20" t="n">
        <v>0.25</v>
      </c>
      <c r="G13" s="20" t="n">
        <v>0.25</v>
      </c>
      <c r="H13" s="20" t="n">
        <v>0.25</v>
      </c>
      <c r="I13" s="20" t="n">
        <v>0.25</v>
      </c>
      <c r="J13" s="20" t="n">
        <v>0</v>
      </c>
      <c r="K13" s="20" t="n">
        <v>0.25</v>
      </c>
      <c r="L13" s="20" t="n">
        <v>0</v>
      </c>
      <c r="M13" s="20" t="n">
        <f aca="false">SUM(D13:L13)</f>
        <v>1.5</v>
      </c>
    </row>
    <row r="14" customFormat="false" ht="21.75" hidden="false" customHeight="true" outlineLevel="0" collapsed="false">
      <c r="A14" s="6" t="s">
        <v>64</v>
      </c>
      <c r="B14" s="6" t="s">
        <v>65</v>
      </c>
      <c r="C14" s="13" t="s">
        <v>29</v>
      </c>
      <c r="D14" s="18" t="n">
        <v>0</v>
      </c>
      <c r="E14" s="18" t="n">
        <v>0.5</v>
      </c>
      <c r="F14" s="18" t="n">
        <v>0.25</v>
      </c>
      <c r="G14" s="18" t="n">
        <v>0.25</v>
      </c>
      <c r="H14" s="18" t="n">
        <v>0.5</v>
      </c>
      <c r="I14" s="18" t="n">
        <v>0</v>
      </c>
      <c r="J14" s="18" t="n">
        <v>0</v>
      </c>
      <c r="K14" s="18" t="n">
        <v>0</v>
      </c>
      <c r="L14" s="18" t="n">
        <v>0.25</v>
      </c>
      <c r="M14" s="18" t="n">
        <f aca="false">SUM(D14:L14)</f>
        <v>1.75</v>
      </c>
    </row>
    <row r="15" customFormat="false" ht="21.75" hidden="false" customHeight="true" outlineLevel="0" collapsed="false">
      <c r="A15" s="9" t="s">
        <v>57</v>
      </c>
      <c r="B15" s="9" t="s">
        <v>58</v>
      </c>
      <c r="C15" s="13" t="s">
        <v>29</v>
      </c>
      <c r="D15" s="20" t="n">
        <v>0</v>
      </c>
      <c r="E15" s="20" t="n">
        <v>0</v>
      </c>
      <c r="F15" s="20" t="n">
        <v>0.25</v>
      </c>
      <c r="G15" s="20" t="n">
        <v>0.25</v>
      </c>
      <c r="H15" s="20" t="n">
        <v>0</v>
      </c>
      <c r="I15" s="20" t="n">
        <v>0.25</v>
      </c>
      <c r="J15" s="20" t="n">
        <v>0</v>
      </c>
      <c r="K15" s="20" t="n">
        <v>0</v>
      </c>
      <c r="L15" s="20" t="n">
        <v>0.25</v>
      </c>
      <c r="M15" s="20" t="n">
        <f aca="false">SUM(D15:L15)</f>
        <v>1</v>
      </c>
    </row>
    <row r="16" customFormat="false" ht="21.75" hidden="false" customHeight="true" outlineLevel="0" collapsed="false">
      <c r="A16" s="6" t="s">
        <v>46</v>
      </c>
      <c r="B16" s="6" t="s">
        <v>47</v>
      </c>
      <c r="C16" s="13" t="s">
        <v>29</v>
      </c>
      <c r="D16" s="18" t="n">
        <v>0.25</v>
      </c>
      <c r="E16" s="18" t="n">
        <v>0</v>
      </c>
      <c r="F16" s="18" t="n">
        <v>0.25</v>
      </c>
      <c r="G16" s="18" t="n">
        <v>0</v>
      </c>
      <c r="H16" s="18" t="n">
        <v>0.25</v>
      </c>
      <c r="I16" s="18" t="n">
        <v>0</v>
      </c>
      <c r="J16" s="18" t="n">
        <v>0</v>
      </c>
      <c r="K16" s="18" t="n">
        <v>0.25</v>
      </c>
      <c r="L16" s="18" t="n">
        <v>0</v>
      </c>
      <c r="M16" s="18" t="n">
        <f aca="false">SUM(D16:L16)</f>
        <v>1</v>
      </c>
    </row>
    <row r="17" customFormat="false" ht="30" hidden="false" customHeight="true" outlineLevel="0" collapsed="false">
      <c r="A17" s="33" t="s">
        <v>368</v>
      </c>
      <c r="B17" s="63" t="s">
        <v>369</v>
      </c>
      <c r="C17" s="33" t="s">
        <v>370</v>
      </c>
      <c r="D17" s="64" t="n">
        <v>0</v>
      </c>
      <c r="E17" s="64" t="n">
        <v>0</v>
      </c>
      <c r="F17" s="64" t="n">
        <v>0</v>
      </c>
      <c r="G17" s="64" t="n">
        <v>0</v>
      </c>
      <c r="H17" s="64" t="n">
        <v>0</v>
      </c>
      <c r="I17" s="64" t="n">
        <v>0</v>
      </c>
      <c r="J17" s="64" t="n">
        <v>0</v>
      </c>
      <c r="K17" s="64" t="n">
        <v>0</v>
      </c>
      <c r="L17" s="64" t="n">
        <v>0</v>
      </c>
      <c r="M17" s="64" t="n">
        <v>1.5</v>
      </c>
    </row>
    <row r="18" customFormat="false" ht="15" hidden="false" customHeight="true" outlineLevel="0" collapsed="false">
      <c r="A18" s="65" t="s">
        <v>371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 t="n">
        <f aca="false">SUM(M4:M17)</f>
        <v>45</v>
      </c>
    </row>
    <row r="20" customFormat="false" ht="27.75" hidden="false" customHeight="true" outlineLevel="0" collapsed="false">
      <c r="A20" s="5" t="s">
        <v>372</v>
      </c>
      <c r="B20" s="5" t="s">
        <v>373</v>
      </c>
      <c r="C20" s="5" t="s">
        <v>374</v>
      </c>
    </row>
    <row r="21" customFormat="false" ht="21.75" hidden="false" customHeight="true" outlineLevel="0" collapsed="false">
      <c r="A21" s="26" t="s">
        <v>37</v>
      </c>
      <c r="B21" s="67" t="n">
        <f aca="false">SUMIF($C$4:$C$17,"Scale Now",$M$4:$M$17)</f>
        <v>30.25</v>
      </c>
      <c r="C21" s="55" t="n">
        <f aca="false">B21/$M$18</f>
        <v>0.672222222222222</v>
      </c>
    </row>
    <row r="22" customFormat="false" ht="21.75" hidden="false" customHeight="true" outlineLevel="0" collapsed="false">
      <c r="A22" s="26" t="s">
        <v>29</v>
      </c>
      <c r="B22" s="67" t="n">
        <f aca="false">SUMIF($C$4:$C$17,"Prepare First",$M$4:$M$17)</f>
        <v>13.25</v>
      </c>
      <c r="C22" s="55" t="n">
        <f aca="false">B22/$M$18</f>
        <v>0.294444444444444</v>
      </c>
    </row>
    <row r="23" customFormat="false" ht="21.75" hidden="false" customHeight="true" outlineLevel="0" collapsed="false">
      <c r="A23" s="26" t="s">
        <v>370</v>
      </c>
      <c r="B23" s="67" t="n">
        <f aca="false">SUMIF($C$4:$C$17,"Cross-cutting",$M$4:$M$17)</f>
        <v>1.5</v>
      </c>
      <c r="C23" s="55" t="n">
        <f aca="false">B23/$M$18</f>
        <v>0.0333333333333333</v>
      </c>
    </row>
    <row r="24" customFormat="false" ht="21.75" hidden="false" customHeight="true" outlineLevel="0" collapsed="false">
      <c r="A24" s="26" t="s">
        <v>18</v>
      </c>
      <c r="B24" s="67" t="n">
        <v>0</v>
      </c>
      <c r="C24" s="55" t="n">
        <f aca="false">B24/$M$18</f>
        <v>0</v>
      </c>
    </row>
    <row r="26" customFormat="false" ht="27.75" hidden="false" customHeight="true" outlineLevel="0" collapsed="false">
      <c r="A26" s="5" t="s">
        <v>375</v>
      </c>
      <c r="B26" s="5" t="s">
        <v>115</v>
      </c>
      <c r="C26" s="5" t="s">
        <v>116</v>
      </c>
      <c r="D26" s="5" t="s">
        <v>117</v>
      </c>
      <c r="E26" s="5" t="s">
        <v>118</v>
      </c>
      <c r="F26" s="5" t="s">
        <v>119</v>
      </c>
      <c r="G26" s="5" t="s">
        <v>120</v>
      </c>
      <c r="H26" s="5" t="s">
        <v>121</v>
      </c>
      <c r="I26" s="5" t="s">
        <v>123</v>
      </c>
      <c r="J26" s="5" t="s">
        <v>124</v>
      </c>
      <c r="K26" s="5" t="s">
        <v>370</v>
      </c>
      <c r="L26" s="5" t="s">
        <v>376</v>
      </c>
    </row>
    <row r="27" customFormat="false" ht="21.75" hidden="false" customHeight="true" outlineLevel="0" collapsed="false">
      <c r="A27" s="26" t="s">
        <v>373</v>
      </c>
      <c r="B27" s="67" t="n">
        <f aca="false">SUM(D4:D16)</f>
        <v>2.75</v>
      </c>
      <c r="C27" s="67" t="n">
        <f aca="false">SUM(E4:E16)</f>
        <v>7.75</v>
      </c>
      <c r="D27" s="67" t="n">
        <f aca="false">SUM(F4:F16)</f>
        <v>4.25</v>
      </c>
      <c r="E27" s="67" t="n">
        <f aca="false">SUM(G4:G16)</f>
        <v>7.25</v>
      </c>
      <c r="F27" s="67" t="n">
        <f aca="false">SUM(H4:H16)</f>
        <v>7.25</v>
      </c>
      <c r="G27" s="67" t="n">
        <f aca="false">SUM(I4:I16)</f>
        <v>3.5</v>
      </c>
      <c r="H27" s="67" t="n">
        <f aca="false">SUM(J4:J16)</f>
        <v>2.75</v>
      </c>
      <c r="I27" s="67" t="n">
        <f aca="false">SUM(K4:K16)</f>
        <v>5.25</v>
      </c>
      <c r="J27" s="67" t="n">
        <f aca="false">SUM(L4:L16)</f>
        <v>2.75</v>
      </c>
      <c r="K27" s="67" t="n">
        <f aca="false">M17</f>
        <v>1.5</v>
      </c>
      <c r="L27" s="67" t="n">
        <f aca="false">SUM(B27:K27)</f>
        <v>45</v>
      </c>
    </row>
    <row r="29" customFormat="false" ht="27.75" hidden="false" customHeight="true" outlineLevel="0" collapsed="false">
      <c r="A29" s="5" t="s">
        <v>377</v>
      </c>
      <c r="B29" s="5" t="s">
        <v>373</v>
      </c>
    </row>
    <row r="30" customFormat="false" ht="27.75" hidden="false" customHeight="true" outlineLevel="0" collapsed="false">
      <c r="A30" s="30" t="s">
        <v>378</v>
      </c>
      <c r="B30" s="67" t="n">
        <v>0.5</v>
      </c>
    </row>
    <row r="31" customFormat="false" ht="27.75" hidden="false" customHeight="true" outlineLevel="0" collapsed="false">
      <c r="A31" s="30" t="s">
        <v>379</v>
      </c>
      <c r="B31" s="67" t="n">
        <v>0.4</v>
      </c>
    </row>
    <row r="32" customFormat="false" ht="27.75" hidden="false" customHeight="true" outlineLevel="0" collapsed="false">
      <c r="A32" s="30" t="s">
        <v>380</v>
      </c>
      <c r="B32" s="67" t="n">
        <v>0.3</v>
      </c>
    </row>
    <row r="33" customFormat="false" ht="27.75" hidden="false" customHeight="true" outlineLevel="0" collapsed="false">
      <c r="A33" s="30" t="s">
        <v>381</v>
      </c>
      <c r="B33" s="67" t="n">
        <v>0.3</v>
      </c>
    </row>
    <row r="34" customFormat="false" ht="21.75" hidden="false" customHeight="true" outlineLevel="0" collapsed="false">
      <c r="A34" s="30" t="s">
        <v>382</v>
      </c>
      <c r="B34" s="67" t="n">
        <f aca="false">SUM(B30:B33)</f>
        <v>1.5</v>
      </c>
    </row>
    <row r="35" customFormat="false" ht="30" hidden="false" customHeight="true" outlineLevel="0" collapsed="false">
      <c r="A35" s="34" t="s">
        <v>383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</sheetData>
  <mergeCells count="3">
    <mergeCell ref="A1:M1"/>
    <mergeCell ref="A18:L18"/>
    <mergeCell ref="A35:M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4" min="3" style="1" width="52"/>
    <col collapsed="false" customWidth="true" hidden="false" outlineLevel="0" max="5" min="5" style="1" width="34"/>
  </cols>
  <sheetData>
    <row r="1" customFormat="false" ht="27" hidden="false" customHeight="true" outlineLevel="0" collapsed="false">
      <c r="A1" s="2" t="s">
        <v>384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14" t="s">
        <v>385</v>
      </c>
      <c r="B2" s="15"/>
      <c r="C2" s="15"/>
      <c r="D2" s="15"/>
      <c r="E2" s="15"/>
    </row>
    <row r="3" customFormat="false" ht="24" hidden="false" customHeight="true" outlineLevel="0" collapsed="false">
      <c r="A3" s="5" t="s">
        <v>386</v>
      </c>
      <c r="B3" s="5" t="s">
        <v>387</v>
      </c>
      <c r="C3" s="5" t="s">
        <v>388</v>
      </c>
      <c r="D3" s="5" t="s">
        <v>389</v>
      </c>
      <c r="E3" s="5" t="s">
        <v>390</v>
      </c>
    </row>
    <row r="4" customFormat="false" ht="37.5" hidden="false" customHeight="true" outlineLevel="0" collapsed="false">
      <c r="A4" s="6" t="s">
        <v>391</v>
      </c>
      <c r="B4" s="6" t="s">
        <v>392</v>
      </c>
      <c r="C4" s="6" t="s">
        <v>393</v>
      </c>
      <c r="D4" s="6" t="s">
        <v>394</v>
      </c>
      <c r="E4" s="6" t="s">
        <v>395</v>
      </c>
    </row>
    <row r="5" customFormat="false" ht="37.5" hidden="false" customHeight="true" outlineLevel="0" collapsed="false">
      <c r="A5" s="9" t="s">
        <v>396</v>
      </c>
      <c r="B5" s="9" t="s">
        <v>397</v>
      </c>
      <c r="C5" s="9" t="s">
        <v>398</v>
      </c>
      <c r="D5" s="9" t="s">
        <v>399</v>
      </c>
      <c r="E5" s="9" t="s">
        <v>400</v>
      </c>
    </row>
    <row r="6" customFormat="false" ht="37.5" hidden="false" customHeight="true" outlineLevel="0" collapsed="false">
      <c r="A6" s="6" t="s">
        <v>401</v>
      </c>
      <c r="B6" s="6" t="s">
        <v>402</v>
      </c>
      <c r="C6" s="6" t="s">
        <v>403</v>
      </c>
      <c r="D6" s="6" t="s">
        <v>404</v>
      </c>
      <c r="E6" s="6" t="s">
        <v>405</v>
      </c>
    </row>
    <row r="7" customFormat="false" ht="37.5" hidden="false" customHeight="true" outlineLevel="0" collapsed="false">
      <c r="A7" s="9" t="s">
        <v>406</v>
      </c>
      <c r="B7" s="9" t="s">
        <v>407</v>
      </c>
      <c r="C7" s="9" t="s">
        <v>408</v>
      </c>
      <c r="D7" s="9" t="s">
        <v>409</v>
      </c>
      <c r="E7" s="9" t="s">
        <v>410</v>
      </c>
    </row>
    <row r="8" customFormat="false" ht="37.5" hidden="false" customHeight="true" outlineLevel="0" collapsed="false">
      <c r="A8" s="6" t="s">
        <v>411</v>
      </c>
      <c r="B8" s="6" t="s">
        <v>412</v>
      </c>
      <c r="C8" s="6" t="s">
        <v>413</v>
      </c>
      <c r="D8" s="6" t="s">
        <v>414</v>
      </c>
      <c r="E8" s="6" t="s">
        <v>415</v>
      </c>
    </row>
    <row r="9" customFormat="false" ht="37.5" hidden="false" customHeight="true" outlineLevel="0" collapsed="false">
      <c r="A9" s="9" t="s">
        <v>411</v>
      </c>
      <c r="B9" s="9" t="s">
        <v>416</v>
      </c>
      <c r="C9" s="9" t="s">
        <v>417</v>
      </c>
      <c r="D9" s="9" t="s">
        <v>418</v>
      </c>
      <c r="E9" s="9" t="s">
        <v>419</v>
      </c>
    </row>
    <row r="10" customFormat="false" ht="51.75" hidden="false" customHeight="true" outlineLevel="0" collapsed="false">
      <c r="A10" s="26" t="s">
        <v>420</v>
      </c>
      <c r="B10" s="26" t="s">
        <v>421</v>
      </c>
      <c r="C10" s="30" t="s">
        <v>422</v>
      </c>
      <c r="D10" s="30" t="s">
        <v>423</v>
      </c>
      <c r="E10" s="30" t="s">
        <v>424</v>
      </c>
    </row>
    <row r="11" customFormat="false" ht="51.75" hidden="false" customHeight="true" outlineLevel="0" collapsed="false">
      <c r="A11" s="28" t="s">
        <v>425</v>
      </c>
      <c r="B11" s="28" t="s">
        <v>426</v>
      </c>
      <c r="C11" s="31" t="s">
        <v>427</v>
      </c>
      <c r="D11" s="31" t="s">
        <v>428</v>
      </c>
      <c r="E11" s="31" t="s">
        <v>429</v>
      </c>
    </row>
    <row r="12" customFormat="false" ht="51.75" hidden="false" customHeight="true" outlineLevel="0" collapsed="false">
      <c r="A12" s="26" t="s">
        <v>430</v>
      </c>
      <c r="B12" s="26" t="s">
        <v>431</v>
      </c>
      <c r="C12" s="30" t="s">
        <v>432</v>
      </c>
      <c r="D12" s="30" t="s">
        <v>433</v>
      </c>
      <c r="E12" s="30" t="s">
        <v>434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C10" activeCellId="0" sqref="C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50"/>
    <col collapsed="false" customWidth="true" hidden="false" outlineLevel="0" max="4" min="4" style="1" width="48"/>
    <col collapsed="false" customWidth="true" hidden="false" outlineLevel="0" max="5" min="5" style="1" width="40"/>
  </cols>
  <sheetData>
    <row r="1" customFormat="false" ht="27" hidden="false" customHeight="true" outlineLevel="0" collapsed="false">
      <c r="A1" s="2" t="s">
        <v>435</v>
      </c>
      <c r="B1" s="2"/>
      <c r="C1" s="2"/>
      <c r="D1" s="2"/>
      <c r="E1" s="2"/>
    </row>
    <row r="2" customFormat="false" ht="18" hidden="false" customHeight="true" outlineLevel="0" collapsed="false">
      <c r="A2" s="14" t="s">
        <v>436</v>
      </c>
      <c r="B2" s="15"/>
      <c r="C2" s="15"/>
      <c r="D2" s="15"/>
      <c r="E2" s="15"/>
    </row>
    <row r="3" customFormat="false" ht="24" hidden="false" customHeight="true" outlineLevel="0" collapsed="false">
      <c r="A3" s="5" t="s">
        <v>437</v>
      </c>
      <c r="B3" s="5" t="s">
        <v>438</v>
      </c>
      <c r="C3" s="5" t="s">
        <v>439</v>
      </c>
      <c r="D3" s="5" t="s">
        <v>440</v>
      </c>
      <c r="E3" s="5" t="s">
        <v>441</v>
      </c>
    </row>
    <row r="4" customFormat="false" ht="43.5" hidden="false" customHeight="true" outlineLevel="0" collapsed="false">
      <c r="A4" s="26" t="s">
        <v>442</v>
      </c>
      <c r="B4" s="26" t="s">
        <v>443</v>
      </c>
      <c r="C4" s="30" t="s">
        <v>444</v>
      </c>
      <c r="D4" s="30" t="s">
        <v>445</v>
      </c>
      <c r="E4" s="30" t="s">
        <v>446</v>
      </c>
    </row>
    <row r="5" customFormat="false" ht="43.5" hidden="false" customHeight="true" outlineLevel="0" collapsed="false">
      <c r="A5" s="33" t="s">
        <v>447</v>
      </c>
      <c r="B5" s="33" t="s">
        <v>448</v>
      </c>
      <c r="C5" s="63" t="s">
        <v>449</v>
      </c>
      <c r="D5" s="63" t="s">
        <v>450</v>
      </c>
      <c r="E5" s="63" t="s">
        <v>451</v>
      </c>
    </row>
    <row r="6" customFormat="false" ht="43.5" hidden="false" customHeight="true" outlineLevel="0" collapsed="false">
      <c r="A6" s="26" t="s">
        <v>452</v>
      </c>
      <c r="B6" s="26" t="s">
        <v>453</v>
      </c>
      <c r="C6" s="30" t="s">
        <v>454</v>
      </c>
      <c r="D6" s="30" t="s">
        <v>455</v>
      </c>
      <c r="E6" s="30" t="s">
        <v>456</v>
      </c>
    </row>
    <row r="7" customFormat="false" ht="43.5" hidden="false" customHeight="true" outlineLevel="0" collapsed="false">
      <c r="A7" s="28" t="s">
        <v>457</v>
      </c>
      <c r="B7" s="28" t="s">
        <v>448</v>
      </c>
      <c r="C7" s="31" t="s">
        <v>458</v>
      </c>
      <c r="D7" s="31" t="s">
        <v>459</v>
      </c>
      <c r="E7" s="31" t="s">
        <v>460</v>
      </c>
    </row>
    <row r="8" customFormat="false" ht="43.5" hidden="false" customHeight="true" outlineLevel="0" collapsed="false">
      <c r="A8" s="26" t="s">
        <v>461</v>
      </c>
      <c r="B8" s="26" t="s">
        <v>462</v>
      </c>
      <c r="C8" s="30" t="s">
        <v>463</v>
      </c>
      <c r="D8" s="30" t="s">
        <v>464</v>
      </c>
      <c r="E8" s="30" t="s">
        <v>465</v>
      </c>
    </row>
    <row r="9" customFormat="false" ht="43.5" hidden="false" customHeight="true" outlineLevel="0" collapsed="false">
      <c r="A9" s="28" t="s">
        <v>466</v>
      </c>
      <c r="B9" s="28" t="s">
        <v>467</v>
      </c>
      <c r="C9" s="31" t="s">
        <v>468</v>
      </c>
      <c r="D9" s="31" t="s">
        <v>469</v>
      </c>
      <c r="E9" s="31" t="s">
        <v>470</v>
      </c>
    </row>
    <row r="10" customFormat="false" ht="43.5" hidden="false" customHeight="true" outlineLevel="0" collapsed="false">
      <c r="A10" s="26" t="s">
        <v>471</v>
      </c>
      <c r="B10" s="26" t="s">
        <v>448</v>
      </c>
      <c r="C10" s="30" t="s">
        <v>472</v>
      </c>
      <c r="D10" s="30" t="s">
        <v>473</v>
      </c>
      <c r="E10" s="30" t="s">
        <v>474</v>
      </c>
    </row>
    <row r="11" customFormat="false" ht="43.5" hidden="false" customHeight="true" outlineLevel="0" collapsed="false">
      <c r="A11" s="28" t="s">
        <v>475</v>
      </c>
      <c r="B11" s="28" t="s">
        <v>476</v>
      </c>
      <c r="C11" s="31" t="s">
        <v>477</v>
      </c>
      <c r="D11" s="31" t="s">
        <v>478</v>
      </c>
      <c r="E11" s="31" t="s">
        <v>474</v>
      </c>
    </row>
    <row r="12" customFormat="false" ht="43.5" hidden="false" customHeight="true" outlineLevel="0" collapsed="false">
      <c r="A12" s="26" t="s">
        <v>479</v>
      </c>
      <c r="B12" s="26" t="s">
        <v>476</v>
      </c>
      <c r="C12" s="30" t="s">
        <v>480</v>
      </c>
      <c r="D12" s="30" t="s">
        <v>481</v>
      </c>
      <c r="E12" s="30" t="s">
        <v>482</v>
      </c>
    </row>
    <row r="13" customFormat="false" ht="43.5" hidden="false" customHeight="true" outlineLevel="0" collapsed="false">
      <c r="A13" s="33" t="s">
        <v>483</v>
      </c>
      <c r="B13" s="33" t="s">
        <v>476</v>
      </c>
      <c r="C13" s="63" t="s">
        <v>484</v>
      </c>
      <c r="D13" s="63" t="s">
        <v>485</v>
      </c>
      <c r="E13" s="63" t="s">
        <v>486</v>
      </c>
    </row>
    <row r="14" customFormat="false" ht="43.5" hidden="false" customHeight="true" outlineLevel="0" collapsed="false">
      <c r="A14" s="33" t="s">
        <v>487</v>
      </c>
      <c r="B14" s="33" t="s">
        <v>476</v>
      </c>
      <c r="C14" s="63" t="s">
        <v>488</v>
      </c>
      <c r="D14" s="63" t="s">
        <v>489</v>
      </c>
      <c r="E14" s="63" t="s">
        <v>490</v>
      </c>
    </row>
    <row r="15" customFormat="false" ht="43.5" hidden="false" customHeight="true" outlineLevel="0" collapsed="false">
      <c r="A15" s="33" t="s">
        <v>491</v>
      </c>
      <c r="B15" s="33" t="s">
        <v>476</v>
      </c>
      <c r="C15" s="63" t="s">
        <v>492</v>
      </c>
      <c r="D15" s="63" t="s">
        <v>493</v>
      </c>
      <c r="E15" s="63" t="s">
        <v>494</v>
      </c>
    </row>
    <row r="16" customFormat="false" ht="43.5" hidden="false" customHeight="true" outlineLevel="0" collapsed="false">
      <c r="A16" s="26" t="s">
        <v>495</v>
      </c>
      <c r="B16" s="26" t="s">
        <v>496</v>
      </c>
      <c r="C16" s="30" t="s">
        <v>497</v>
      </c>
      <c r="D16" s="30" t="s">
        <v>498</v>
      </c>
      <c r="E16" s="30" t="s">
        <v>499</v>
      </c>
    </row>
    <row r="17" customFormat="false" ht="43.5" hidden="false" customHeight="true" outlineLevel="0" collapsed="false">
      <c r="A17" s="33" t="s">
        <v>500</v>
      </c>
      <c r="B17" s="33" t="s">
        <v>501</v>
      </c>
      <c r="C17" s="63" t="s">
        <v>502</v>
      </c>
      <c r="D17" s="63" t="s">
        <v>503</v>
      </c>
      <c r="E17" s="63" t="s">
        <v>504</v>
      </c>
    </row>
    <row r="18" customFormat="false" ht="43.5" hidden="false" customHeight="true" outlineLevel="0" collapsed="false">
      <c r="A18" s="33" t="s">
        <v>505</v>
      </c>
      <c r="B18" s="33" t="s">
        <v>501</v>
      </c>
      <c r="C18" s="63" t="s">
        <v>506</v>
      </c>
      <c r="D18" s="63" t="s">
        <v>507</v>
      </c>
      <c r="E18" s="63" t="s">
        <v>508</v>
      </c>
    </row>
    <row r="19" customFormat="false" ht="43.5" hidden="false" customHeight="true" outlineLevel="0" collapsed="false">
      <c r="A19" s="28" t="s">
        <v>509</v>
      </c>
      <c r="B19" s="28" t="s">
        <v>510</v>
      </c>
      <c r="C19" s="31" t="s">
        <v>511</v>
      </c>
      <c r="D19" s="31" t="s">
        <v>512</v>
      </c>
      <c r="E19" s="31" t="s">
        <v>513</v>
      </c>
    </row>
    <row r="20" customFormat="false" ht="43.5" hidden="false" customHeight="true" outlineLevel="0" collapsed="false">
      <c r="A20" s="26" t="s">
        <v>514</v>
      </c>
      <c r="B20" s="26" t="s">
        <v>515</v>
      </c>
      <c r="C20" s="30" t="s">
        <v>516</v>
      </c>
      <c r="D20" s="30" t="s">
        <v>517</v>
      </c>
      <c r="E20" s="30" t="s">
        <v>474</v>
      </c>
    </row>
    <row r="21" customFormat="false" ht="43.5" hidden="false" customHeight="true" outlineLevel="0" collapsed="false">
      <c r="A21" s="28" t="s">
        <v>518</v>
      </c>
      <c r="B21" s="28" t="s">
        <v>476</v>
      </c>
      <c r="C21" s="31" t="s">
        <v>519</v>
      </c>
      <c r="D21" s="31" t="s">
        <v>520</v>
      </c>
      <c r="E21" s="31" t="s">
        <v>521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15" activeCellId="0" sqref="C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52"/>
    <col collapsed="false" customWidth="true" hidden="false" outlineLevel="0" max="4" min="4" style="1" width="48"/>
  </cols>
  <sheetData>
    <row r="1" customFormat="false" ht="27" hidden="false" customHeight="true" outlineLevel="0" collapsed="false">
      <c r="A1" s="2" t="s">
        <v>522</v>
      </c>
      <c r="B1" s="2"/>
      <c r="C1" s="2"/>
      <c r="D1" s="2"/>
    </row>
    <row r="2" customFormat="false" ht="18" hidden="false" customHeight="true" outlineLevel="0" collapsed="false">
      <c r="A2" s="15"/>
      <c r="B2" s="15"/>
      <c r="C2" s="15"/>
      <c r="D2" s="15"/>
    </row>
    <row r="3" customFormat="false" ht="24" hidden="false" customHeight="true" outlineLevel="0" collapsed="false">
      <c r="A3" s="5" t="s">
        <v>523</v>
      </c>
      <c r="B3" s="5" t="s">
        <v>524</v>
      </c>
      <c r="C3" s="5" t="s">
        <v>525</v>
      </c>
      <c r="D3" s="5" t="s">
        <v>526</v>
      </c>
    </row>
    <row r="4" customFormat="false" ht="48" hidden="false" customHeight="true" outlineLevel="0" collapsed="false">
      <c r="A4" s="6" t="s">
        <v>527</v>
      </c>
      <c r="B4" s="6" t="s">
        <v>528</v>
      </c>
      <c r="C4" s="6" t="s">
        <v>529</v>
      </c>
      <c r="D4" s="6" t="s">
        <v>530</v>
      </c>
    </row>
    <row r="5" customFormat="false" ht="48" hidden="false" customHeight="true" outlineLevel="0" collapsed="false">
      <c r="A5" s="9" t="s">
        <v>531</v>
      </c>
      <c r="B5" s="9" t="s">
        <v>532</v>
      </c>
      <c r="C5" s="9" t="s">
        <v>533</v>
      </c>
      <c r="D5" s="9" t="s">
        <v>534</v>
      </c>
    </row>
    <row r="6" customFormat="false" ht="48" hidden="false" customHeight="true" outlineLevel="0" collapsed="false">
      <c r="A6" s="6" t="s">
        <v>535</v>
      </c>
      <c r="B6" s="6" t="s">
        <v>536</v>
      </c>
      <c r="C6" s="6" t="s">
        <v>537</v>
      </c>
      <c r="D6" s="6" t="s">
        <v>538</v>
      </c>
    </row>
    <row r="7" customFormat="false" ht="48" hidden="false" customHeight="true" outlineLevel="0" collapsed="false">
      <c r="A7" s="9" t="s">
        <v>539</v>
      </c>
      <c r="B7" s="9" t="s">
        <v>540</v>
      </c>
      <c r="C7" s="9" t="s">
        <v>541</v>
      </c>
      <c r="D7" s="9" t="s">
        <v>542</v>
      </c>
    </row>
    <row r="8" customFormat="false" ht="48" hidden="false" customHeight="true" outlineLevel="0" collapsed="false">
      <c r="A8" s="6" t="s">
        <v>543</v>
      </c>
      <c r="B8" s="6" t="s">
        <v>544</v>
      </c>
      <c r="C8" s="6" t="s">
        <v>545</v>
      </c>
      <c r="D8" s="6" t="s">
        <v>546</v>
      </c>
    </row>
    <row r="9" customFormat="false" ht="48" hidden="false" customHeight="true" outlineLevel="0" collapsed="false">
      <c r="A9" s="9" t="s">
        <v>547</v>
      </c>
      <c r="B9" s="9" t="s">
        <v>548</v>
      </c>
      <c r="C9" s="9" t="s">
        <v>549</v>
      </c>
      <c r="D9" s="9" t="s">
        <v>550</v>
      </c>
    </row>
    <row r="10" customFormat="false" ht="57.75" hidden="false" customHeight="true" outlineLevel="0" collapsed="false">
      <c r="A10" s="63" t="s">
        <v>551</v>
      </c>
      <c r="B10" s="63" t="s">
        <v>552</v>
      </c>
      <c r="C10" s="63" t="s">
        <v>553</v>
      </c>
      <c r="D10" s="63" t="s">
        <v>554</v>
      </c>
    </row>
    <row r="11" customFormat="false" ht="57.75" hidden="false" customHeight="true" outlineLevel="0" collapsed="false">
      <c r="A11" s="63" t="s">
        <v>555</v>
      </c>
      <c r="B11" s="63" t="s">
        <v>556</v>
      </c>
      <c r="C11" s="63" t="s">
        <v>557</v>
      </c>
      <c r="D11" s="63" t="s">
        <v>558</v>
      </c>
    </row>
    <row r="12" customFormat="false" ht="57.75" hidden="false" customHeight="true" outlineLevel="0" collapsed="false">
      <c r="A12" s="63" t="s">
        <v>559</v>
      </c>
      <c r="B12" s="63" t="s">
        <v>560</v>
      </c>
      <c r="C12" s="63" t="s">
        <v>561</v>
      </c>
      <c r="D12" s="63" t="s">
        <v>562</v>
      </c>
    </row>
    <row r="13" customFormat="false" ht="57.75" hidden="false" customHeight="true" outlineLevel="0" collapsed="false">
      <c r="A13" s="63" t="s">
        <v>563</v>
      </c>
      <c r="B13" s="63" t="s">
        <v>564</v>
      </c>
      <c r="C13" s="63" t="s">
        <v>565</v>
      </c>
      <c r="D13" s="63" t="s">
        <v>566</v>
      </c>
    </row>
    <row r="14" customFormat="false" ht="57.75" hidden="false" customHeight="true" outlineLevel="0" collapsed="false">
      <c r="A14" s="63" t="s">
        <v>567</v>
      </c>
      <c r="B14" s="63" t="s">
        <v>568</v>
      </c>
      <c r="C14" s="63" t="s">
        <v>569</v>
      </c>
      <c r="D14" s="63" t="s">
        <v>570</v>
      </c>
    </row>
    <row r="15" customFormat="false" ht="57.75" hidden="false" customHeight="true" outlineLevel="0" collapsed="false">
      <c r="A15" s="63" t="s">
        <v>571</v>
      </c>
      <c r="B15" s="63" t="s">
        <v>572</v>
      </c>
      <c r="C15" s="63" t="s">
        <v>573</v>
      </c>
      <c r="D15" s="63" t="s">
        <v>574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6"/>
  <sheetViews>
    <sheetView showFormulas="false" showGridLines="true" showRowColHeaders="true" showZeros="true" rightToLeft="false" tabSelected="false" showOutlineSymbols="true" defaultGridColor="true" view="normal" topLeftCell="BN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83" min="3" style="1" width="14"/>
  </cols>
  <sheetData>
    <row r="1" customFormat="false" ht="33.75" hidden="false" customHeight="true" outlineLevel="0" collapsed="false">
      <c r="A1" s="5" t="s">
        <v>575</v>
      </c>
      <c r="B1" s="5" t="s">
        <v>576</v>
      </c>
      <c r="C1" s="5" t="s">
        <v>577</v>
      </c>
      <c r="D1" s="5" t="s">
        <v>578</v>
      </c>
      <c r="E1" s="5" t="s">
        <v>579</v>
      </c>
      <c r="F1" s="5" t="s">
        <v>580</v>
      </c>
      <c r="G1" s="5" t="s">
        <v>581</v>
      </c>
      <c r="H1" s="5" t="s">
        <v>582</v>
      </c>
      <c r="I1" s="5" t="s">
        <v>583</v>
      </c>
      <c r="J1" s="5" t="s">
        <v>584</v>
      </c>
      <c r="K1" s="5" t="s">
        <v>585</v>
      </c>
      <c r="L1" s="5" t="s">
        <v>586</v>
      </c>
      <c r="M1" s="5" t="s">
        <v>587</v>
      </c>
      <c r="N1" s="5" t="s">
        <v>588</v>
      </c>
      <c r="O1" s="5" t="s">
        <v>589</v>
      </c>
      <c r="P1" s="5" t="s">
        <v>590</v>
      </c>
      <c r="Q1" s="5" t="s">
        <v>591</v>
      </c>
      <c r="R1" s="5" t="s">
        <v>592</v>
      </c>
      <c r="S1" s="5" t="s">
        <v>593</v>
      </c>
      <c r="T1" s="5" t="s">
        <v>594</v>
      </c>
      <c r="U1" s="5" t="s">
        <v>595</v>
      </c>
      <c r="V1" s="5" t="s">
        <v>596</v>
      </c>
      <c r="W1" s="5" t="s">
        <v>597</v>
      </c>
      <c r="X1" s="5" t="s">
        <v>598</v>
      </c>
      <c r="Y1" s="5" t="s">
        <v>599</v>
      </c>
      <c r="Z1" s="5" t="s">
        <v>600</v>
      </c>
      <c r="AA1" s="5" t="s">
        <v>601</v>
      </c>
      <c r="AB1" s="5" t="s">
        <v>602</v>
      </c>
      <c r="AC1" s="5" t="s">
        <v>603</v>
      </c>
      <c r="AD1" s="5" t="s">
        <v>604</v>
      </c>
      <c r="AE1" s="5" t="s">
        <v>605</v>
      </c>
      <c r="AF1" s="5" t="s">
        <v>606</v>
      </c>
      <c r="AG1" s="5" t="s">
        <v>607</v>
      </c>
      <c r="AH1" s="5" t="s">
        <v>608</v>
      </c>
      <c r="AI1" s="5" t="s">
        <v>609</v>
      </c>
      <c r="AJ1" s="5" t="s">
        <v>610</v>
      </c>
      <c r="AK1" s="5" t="s">
        <v>611</v>
      </c>
      <c r="AL1" s="5" t="s">
        <v>612</v>
      </c>
      <c r="AM1" s="5" t="s">
        <v>613</v>
      </c>
      <c r="AN1" s="5" t="s">
        <v>614</v>
      </c>
      <c r="AO1" s="5" t="s">
        <v>615</v>
      </c>
      <c r="AP1" s="5" t="s">
        <v>616</v>
      </c>
      <c r="AQ1" s="5" t="s">
        <v>617</v>
      </c>
      <c r="AR1" s="5" t="s">
        <v>618</v>
      </c>
      <c r="AS1" s="5" t="s">
        <v>619</v>
      </c>
      <c r="AT1" s="5" t="s">
        <v>620</v>
      </c>
      <c r="AU1" s="5" t="s">
        <v>621</v>
      </c>
      <c r="AV1" s="5" t="s">
        <v>622</v>
      </c>
      <c r="AW1" s="5" t="s">
        <v>623</v>
      </c>
      <c r="AX1" s="5" t="s">
        <v>624</v>
      </c>
      <c r="AY1" s="5" t="s">
        <v>625</v>
      </c>
      <c r="AZ1" s="5" t="s">
        <v>626</v>
      </c>
      <c r="BA1" s="5" t="s">
        <v>627</v>
      </c>
      <c r="BB1" s="5" t="s">
        <v>628</v>
      </c>
      <c r="BC1" s="5" t="s">
        <v>629</v>
      </c>
      <c r="BD1" s="5" t="s">
        <v>630</v>
      </c>
      <c r="BE1" s="5" t="s">
        <v>631</v>
      </c>
      <c r="BF1" s="5" t="s">
        <v>632</v>
      </c>
      <c r="BG1" s="5" t="s">
        <v>633</v>
      </c>
      <c r="BH1" s="5" t="s">
        <v>634</v>
      </c>
      <c r="BI1" s="5" t="s">
        <v>635</v>
      </c>
      <c r="BJ1" s="5" t="s">
        <v>636</v>
      </c>
      <c r="BK1" s="5" t="s">
        <v>637</v>
      </c>
      <c r="BL1" s="5" t="s">
        <v>638</v>
      </c>
      <c r="BM1" s="5" t="s">
        <v>639</v>
      </c>
      <c r="BN1" s="5" t="s">
        <v>640</v>
      </c>
      <c r="BO1" s="5" t="s">
        <v>641</v>
      </c>
      <c r="BP1" s="5" t="s">
        <v>642</v>
      </c>
      <c r="BQ1" s="5" t="s">
        <v>643</v>
      </c>
      <c r="BR1" s="5" t="s">
        <v>644</v>
      </c>
      <c r="BS1" s="5" t="s">
        <v>645</v>
      </c>
      <c r="BT1" s="5" t="s">
        <v>646</v>
      </c>
      <c r="BU1" s="5" t="s">
        <v>647</v>
      </c>
      <c r="BV1" s="5" t="s">
        <v>648</v>
      </c>
      <c r="BW1" s="5" t="s">
        <v>649</v>
      </c>
      <c r="BX1" s="5" t="s">
        <v>650</v>
      </c>
      <c r="BY1" s="5" t="s">
        <v>651</v>
      </c>
      <c r="BZ1" s="5" t="s">
        <v>652</v>
      </c>
      <c r="CA1" s="5" t="s">
        <v>653</v>
      </c>
      <c r="CB1" s="5" t="s">
        <v>654</v>
      </c>
      <c r="CC1" s="5" t="s">
        <v>655</v>
      </c>
      <c r="CD1" s="5" t="s">
        <v>656</v>
      </c>
      <c r="CE1" s="5" t="s">
        <v>657</v>
      </c>
    </row>
    <row r="2" customFormat="false" ht="12.75" hidden="false" customHeight="true" outlineLevel="0" collapsed="false">
      <c r="A2" s="68" t="s">
        <v>16</v>
      </c>
      <c r="B2" s="68" t="s">
        <v>17</v>
      </c>
      <c r="C2" s="68" t="n">
        <v>31</v>
      </c>
      <c r="D2" s="68" t="n">
        <v>2</v>
      </c>
      <c r="E2" s="68" t="n">
        <v>0</v>
      </c>
      <c r="F2" s="68" t="n">
        <v>30</v>
      </c>
      <c r="G2" s="68" t="n">
        <v>28</v>
      </c>
      <c r="H2" s="68" t="n">
        <v>4</v>
      </c>
      <c r="I2" s="68" t="n">
        <v>22.1</v>
      </c>
      <c r="J2" s="68" t="n">
        <v>2</v>
      </c>
      <c r="K2" s="68" t="n">
        <v>105</v>
      </c>
      <c r="L2" s="68" t="n">
        <v>12</v>
      </c>
      <c r="M2" s="68" t="n">
        <v>2</v>
      </c>
      <c r="N2" s="68" t="n">
        <v>25.4</v>
      </c>
      <c r="O2" s="68" t="n">
        <v>1</v>
      </c>
      <c r="P2" s="68" t="n">
        <v>0</v>
      </c>
      <c r="Q2" s="68" t="n">
        <v>0</v>
      </c>
      <c r="R2" s="68" t="n">
        <v>0</v>
      </c>
      <c r="S2" s="68" t="n">
        <v>4</v>
      </c>
      <c r="T2" s="68" t="n">
        <v>32</v>
      </c>
      <c r="U2" s="68" t="n">
        <v>4</v>
      </c>
      <c r="V2" s="68" t="n">
        <v>3</v>
      </c>
      <c r="W2" s="68" t="n">
        <v>9</v>
      </c>
      <c r="X2" s="68" t="n">
        <v>32</v>
      </c>
      <c r="Y2" s="68" t="n">
        <v>7</v>
      </c>
      <c r="Z2" s="68" t="n">
        <v>59</v>
      </c>
      <c r="AA2" s="68"/>
      <c r="AB2" s="68" t="n">
        <v>21.9</v>
      </c>
      <c r="AC2" s="68" t="n">
        <v>0.458002082167123</v>
      </c>
      <c r="AD2" s="68" t="n">
        <v>58.0018350171901</v>
      </c>
      <c r="AE2" s="68" t="n">
        <v>1</v>
      </c>
      <c r="AF2" s="68" t="n">
        <v>0</v>
      </c>
      <c r="AG2" s="68" t="n">
        <v>5</v>
      </c>
      <c r="AH2" s="68"/>
      <c r="AI2" s="68" t="n">
        <v>13</v>
      </c>
      <c r="AJ2" s="68" t="n">
        <v>13</v>
      </c>
      <c r="AK2" s="68" t="n">
        <v>4</v>
      </c>
      <c r="AL2" s="68" t="n">
        <v>6</v>
      </c>
      <c r="AM2" s="68" t="n">
        <v>6</v>
      </c>
      <c r="AN2" s="68" t="n">
        <v>2</v>
      </c>
      <c r="AO2" s="68" t="n">
        <v>0</v>
      </c>
      <c r="AP2" s="68" t="n">
        <v>8</v>
      </c>
      <c r="AQ2" s="68" t="n">
        <v>2</v>
      </c>
      <c r="AR2" s="68" t="n">
        <v>0</v>
      </c>
      <c r="AS2" s="68" t="n">
        <v>0</v>
      </c>
      <c r="AT2" s="68" t="n">
        <v>2</v>
      </c>
      <c r="AU2" s="68"/>
      <c r="AV2" s="68" t="n">
        <v>0</v>
      </c>
      <c r="AW2" s="68" t="n">
        <v>1</v>
      </c>
      <c r="AX2" s="68" t="n">
        <v>42.5560977296514</v>
      </c>
      <c r="AY2" s="68" t="n">
        <v>0.876906203201789</v>
      </c>
      <c r="AZ2" s="68" t="n">
        <v>293648.07910834</v>
      </c>
      <c r="BA2" s="68" t="n">
        <v>94.1</v>
      </c>
      <c r="BB2" s="68" t="n">
        <v>83.8</v>
      </c>
      <c r="BC2" s="68" t="n">
        <v>11.1380199815646</v>
      </c>
      <c r="BD2" s="68" t="n">
        <v>52.7303790259644</v>
      </c>
      <c r="BE2" s="68" t="n">
        <v>2</v>
      </c>
      <c r="BF2" s="68" t="n">
        <v>193</v>
      </c>
      <c r="BG2" s="68" t="n">
        <v>11</v>
      </c>
      <c r="BH2" s="68" t="n">
        <v>20.0375440298665</v>
      </c>
      <c r="BI2" s="68" t="n">
        <v>356</v>
      </c>
      <c r="BJ2" s="68" t="n">
        <v>23.6933333333333</v>
      </c>
      <c r="BK2" s="68" t="n">
        <v>18.7403767058278</v>
      </c>
      <c r="BL2" s="68" t="n">
        <v>6544</v>
      </c>
      <c r="BM2" s="68" t="n">
        <v>33.0092172702537</v>
      </c>
      <c r="BN2" s="68" t="n">
        <v>37</v>
      </c>
      <c r="BO2" s="68" t="n">
        <v>2.3</v>
      </c>
      <c r="BP2" s="68" t="n">
        <v>5</v>
      </c>
      <c r="BQ2" s="68" t="n">
        <v>3</v>
      </c>
      <c r="BR2" s="68" t="n">
        <v>0</v>
      </c>
      <c r="BS2" s="68" t="n">
        <v>0</v>
      </c>
      <c r="BT2" s="68" t="n">
        <v>97454</v>
      </c>
      <c r="BU2" s="68" t="n">
        <v>34186</v>
      </c>
      <c r="BV2" s="68" t="n">
        <v>1151575</v>
      </c>
      <c r="BW2" s="68" t="n">
        <v>5.27303790259644</v>
      </c>
      <c r="BX2" s="68" t="n">
        <v>2.12925270506844</v>
      </c>
      <c r="BY2" s="68" t="n">
        <v>17.35</v>
      </c>
      <c r="BZ2" s="68" t="n">
        <v>45248</v>
      </c>
      <c r="CA2" s="68" t="n">
        <v>15045</v>
      </c>
      <c r="CB2" s="68" t="n">
        <v>13</v>
      </c>
      <c r="CC2" s="68" t="n">
        <v>167211</v>
      </c>
      <c r="CD2" s="68" t="n">
        <v>4.67</v>
      </c>
      <c r="CE2" s="68" t="n">
        <v>3</v>
      </c>
    </row>
    <row r="3" customFormat="false" ht="12.75" hidden="false" customHeight="true" outlineLevel="0" collapsed="false">
      <c r="A3" s="68" t="s">
        <v>22</v>
      </c>
      <c r="B3" s="68" t="s">
        <v>23</v>
      </c>
      <c r="C3" s="68" t="n">
        <v>0</v>
      </c>
      <c r="D3" s="68" t="n">
        <v>5</v>
      </c>
      <c r="E3" s="68" t="n">
        <v>1</v>
      </c>
      <c r="F3" s="68" t="n">
        <v>13</v>
      </c>
      <c r="G3" s="68" t="n">
        <v>73</v>
      </c>
      <c r="H3" s="68" t="n">
        <v>5</v>
      </c>
      <c r="I3" s="68" t="n">
        <v>20.8</v>
      </c>
      <c r="J3" s="68" t="n">
        <v>2</v>
      </c>
      <c r="K3" s="68" t="n">
        <v>178</v>
      </c>
      <c r="L3" s="68" t="n">
        <v>12</v>
      </c>
      <c r="M3" s="68" t="n">
        <v>1</v>
      </c>
      <c r="N3" s="68" t="n">
        <v>12.6</v>
      </c>
      <c r="O3" s="68" t="n">
        <v>1</v>
      </c>
      <c r="P3" s="68" t="n">
        <v>0</v>
      </c>
      <c r="Q3" s="68" t="n">
        <v>0</v>
      </c>
      <c r="R3" s="68" t="n">
        <v>0</v>
      </c>
      <c r="S3" s="68" t="n">
        <v>0</v>
      </c>
      <c r="T3" s="68" t="n">
        <v>34</v>
      </c>
      <c r="U3" s="68" t="n">
        <v>10</v>
      </c>
      <c r="V3" s="68" t="n">
        <v>1</v>
      </c>
      <c r="W3" s="68" t="n">
        <v>6</v>
      </c>
      <c r="X3" s="68" t="n">
        <v>34</v>
      </c>
      <c r="Y3" s="68" t="n">
        <v>12</v>
      </c>
      <c r="Z3" s="68" t="n">
        <v>0</v>
      </c>
      <c r="AA3" s="68" t="n">
        <v>0.172880087529425</v>
      </c>
      <c r="AB3" s="68" t="n">
        <v>9.1</v>
      </c>
      <c r="AC3" s="68" t="n">
        <v>0.0279916231229735</v>
      </c>
      <c r="AD3" s="68" t="n">
        <v>76.025528353212</v>
      </c>
      <c r="AE3" s="68" t="n">
        <v>1</v>
      </c>
      <c r="AF3" s="68" t="n">
        <v>0</v>
      </c>
      <c r="AG3" s="68" t="n">
        <v>16</v>
      </c>
      <c r="AH3" s="68"/>
      <c r="AI3" s="68" t="n">
        <v>2</v>
      </c>
      <c r="AJ3" s="68" t="n">
        <v>6</v>
      </c>
      <c r="AK3" s="68" t="n">
        <v>1</v>
      </c>
      <c r="AL3" s="68" t="n">
        <v>1</v>
      </c>
      <c r="AM3" s="68" t="n">
        <v>7</v>
      </c>
      <c r="AN3" s="68" t="n">
        <v>5</v>
      </c>
      <c r="AO3" s="68" t="n">
        <v>0</v>
      </c>
      <c r="AP3" s="68" t="n">
        <v>5</v>
      </c>
      <c r="AQ3" s="68" t="n">
        <v>6</v>
      </c>
      <c r="AR3" s="68" t="n">
        <v>4</v>
      </c>
      <c r="AS3" s="68" t="n">
        <v>2</v>
      </c>
      <c r="AT3" s="68" t="n">
        <v>3</v>
      </c>
      <c r="AU3" s="68" t="n">
        <v>5</v>
      </c>
      <c r="AV3" s="68" t="n">
        <v>0</v>
      </c>
      <c r="AW3" s="68" t="n">
        <v>0</v>
      </c>
      <c r="AX3" s="68" t="n">
        <v>68.5633253596485</v>
      </c>
      <c r="AY3" s="68" t="n">
        <v>1.45427913789496</v>
      </c>
      <c r="AZ3" s="68" t="n">
        <v>381466.167680883</v>
      </c>
      <c r="BA3" s="68" t="n">
        <v>91.7</v>
      </c>
      <c r="BB3" s="68" t="n">
        <v>66.7</v>
      </c>
      <c r="BC3" s="68" t="n">
        <v>10.705366106568</v>
      </c>
      <c r="BD3" s="68" t="n">
        <v>41.8497593638837</v>
      </c>
      <c r="BE3" s="68" t="n">
        <v>5</v>
      </c>
      <c r="BF3" s="68" t="n">
        <v>255</v>
      </c>
      <c r="BG3" s="68" t="n">
        <v>19</v>
      </c>
      <c r="BH3" s="68" t="n">
        <v>22.1803724628583</v>
      </c>
      <c r="BI3" s="68" t="n">
        <v>380</v>
      </c>
      <c r="BJ3" s="68" t="n">
        <v>23.0347826086957</v>
      </c>
      <c r="BK3" s="68" t="n">
        <v>22.1720025109856</v>
      </c>
      <c r="BL3" s="68" t="n">
        <v>11108</v>
      </c>
      <c r="BM3" s="68" t="n">
        <v>41.4312617702448</v>
      </c>
      <c r="BN3" s="68" t="n">
        <v>42.8</v>
      </c>
      <c r="BO3" s="68" t="n">
        <v>2.1</v>
      </c>
      <c r="BP3" s="68" t="n">
        <v>5</v>
      </c>
      <c r="BQ3" s="68" t="n">
        <v>10</v>
      </c>
      <c r="BR3" s="68" t="n">
        <v>0</v>
      </c>
      <c r="BS3" s="68" t="n">
        <v>11</v>
      </c>
      <c r="BT3" s="68" t="n">
        <v>235365</v>
      </c>
      <c r="BU3" s="68" t="n">
        <v>40919</v>
      </c>
      <c r="BV3" s="68" t="n">
        <v>19560</v>
      </c>
      <c r="BW3" s="68" t="n">
        <v>4.18497593638837</v>
      </c>
      <c r="BX3" s="68" t="n">
        <v>4.02130152751622</v>
      </c>
      <c r="BY3" s="68" t="n">
        <v>15.9</v>
      </c>
      <c r="BZ3" s="68" t="n">
        <v>81182</v>
      </c>
      <c r="CA3" s="68" t="n">
        <v>17161</v>
      </c>
      <c r="CB3" s="68" t="n">
        <v>0</v>
      </c>
      <c r="CC3" s="68" t="n">
        <v>434727</v>
      </c>
      <c r="CD3" s="68" t="n">
        <v>184.1</v>
      </c>
      <c r="CE3" s="68" t="n">
        <v>1</v>
      </c>
    </row>
    <row r="4" customFormat="false" ht="12.75" hidden="false" customHeight="true" outlineLevel="0" collapsed="false">
      <c r="A4" s="68" t="s">
        <v>27</v>
      </c>
      <c r="B4" s="68" t="s">
        <v>28</v>
      </c>
      <c r="C4" s="68" t="n">
        <v>1</v>
      </c>
      <c r="D4" s="68" t="n">
        <v>9</v>
      </c>
      <c r="E4" s="68" t="n">
        <v>0</v>
      </c>
      <c r="F4" s="68" t="n">
        <v>28</v>
      </c>
      <c r="G4" s="68" t="n">
        <v>81</v>
      </c>
      <c r="H4" s="68" t="n">
        <v>16</v>
      </c>
      <c r="I4" s="68" t="n">
        <v>27.4</v>
      </c>
      <c r="J4" s="68" t="n">
        <v>8</v>
      </c>
      <c r="K4" s="68" t="n">
        <v>203</v>
      </c>
      <c r="L4" s="68" t="n">
        <v>15</v>
      </c>
      <c r="M4" s="68" t="n">
        <v>2</v>
      </c>
      <c r="N4" s="68" t="n">
        <v>5.7</v>
      </c>
      <c r="O4" s="68" t="n">
        <v>2</v>
      </c>
      <c r="P4" s="68" t="n">
        <v>1</v>
      </c>
      <c r="Q4" s="68" t="n">
        <v>0</v>
      </c>
      <c r="R4" s="68" t="n">
        <v>3</v>
      </c>
      <c r="S4" s="68" t="n">
        <v>1</v>
      </c>
      <c r="T4" s="68" t="n">
        <v>24</v>
      </c>
      <c r="U4" s="68" t="n">
        <v>37</v>
      </c>
      <c r="V4" s="68" t="n">
        <v>0</v>
      </c>
      <c r="W4" s="68" t="n">
        <v>4</v>
      </c>
      <c r="X4" s="68" t="n">
        <v>31</v>
      </c>
      <c r="Y4" s="68" t="n">
        <v>26</v>
      </c>
      <c r="Z4" s="68" t="n">
        <v>63</v>
      </c>
      <c r="AA4" s="68"/>
      <c r="AB4" s="68" t="n">
        <v>2.8</v>
      </c>
      <c r="AC4" s="68" t="n">
        <v>0.028164179899774</v>
      </c>
      <c r="AD4" s="68" t="n">
        <v>39.5587711342878</v>
      </c>
      <c r="AE4" s="68" t="n">
        <v>2</v>
      </c>
      <c r="AF4" s="68" t="n">
        <v>0</v>
      </c>
      <c r="AG4" s="68" t="n">
        <v>22</v>
      </c>
      <c r="AH4" s="68"/>
      <c r="AI4" s="68" t="n">
        <v>5</v>
      </c>
      <c r="AJ4" s="68" t="n">
        <v>28</v>
      </c>
      <c r="AK4" s="68" t="n">
        <v>8</v>
      </c>
      <c r="AL4" s="68" t="n">
        <v>13</v>
      </c>
      <c r="AM4" s="68" t="n">
        <v>3</v>
      </c>
      <c r="AN4" s="68" t="n">
        <v>14</v>
      </c>
      <c r="AO4" s="68" t="n">
        <v>1</v>
      </c>
      <c r="AP4" s="68" t="n">
        <v>6</v>
      </c>
      <c r="AQ4" s="68" t="n">
        <v>10</v>
      </c>
      <c r="AR4" s="68" t="n">
        <v>6</v>
      </c>
      <c r="AS4" s="68" t="n">
        <v>4</v>
      </c>
      <c r="AT4" s="68" t="n">
        <v>0</v>
      </c>
      <c r="AU4" s="68" t="n">
        <v>5</v>
      </c>
      <c r="AV4" s="68" t="n">
        <v>0</v>
      </c>
      <c r="AW4" s="68" t="n">
        <v>0</v>
      </c>
      <c r="AX4" s="68" t="n">
        <v>54.4863981467841</v>
      </c>
      <c r="AY4" s="68" t="n">
        <v>1.07938718662953</v>
      </c>
      <c r="AZ4" s="68" t="n">
        <v>475865.938334903</v>
      </c>
      <c r="BA4" s="68" t="n">
        <v>91.7</v>
      </c>
      <c r="BB4" s="68" t="n">
        <v>66.7</v>
      </c>
      <c r="BC4" s="68" t="n">
        <v>10.6412308454292</v>
      </c>
      <c r="BD4" s="68" t="n">
        <v>40.4871412839282</v>
      </c>
      <c r="BE4" s="68" t="n">
        <v>7</v>
      </c>
      <c r="BF4" s="68" t="n">
        <v>529</v>
      </c>
      <c r="BG4" s="68" t="n">
        <v>47</v>
      </c>
      <c r="BH4" s="68" t="n">
        <v>20.4460063483838</v>
      </c>
      <c r="BI4" s="68" t="n">
        <v>184</v>
      </c>
      <c r="BJ4" s="68" t="n">
        <v>24.5502183406114</v>
      </c>
      <c r="BK4" s="68" t="n">
        <v>22.7618708298245</v>
      </c>
      <c r="BL4" s="68" t="n">
        <v>19920</v>
      </c>
      <c r="BM4" s="68" t="n">
        <v>35.0213772105979</v>
      </c>
      <c r="BN4" s="68" t="n">
        <v>44.6</v>
      </c>
      <c r="BO4" s="68" t="n">
        <v>1.8</v>
      </c>
      <c r="BP4" s="68" t="n">
        <v>2</v>
      </c>
      <c r="BQ4" s="68" t="n">
        <v>10</v>
      </c>
      <c r="BR4" s="68" t="n">
        <v>17</v>
      </c>
      <c r="BS4" s="68" t="n">
        <v>15</v>
      </c>
      <c r="BT4" s="68" t="n">
        <v>413922</v>
      </c>
      <c r="BU4" s="68" t="n">
        <v>84195</v>
      </c>
      <c r="BV4" s="68" t="n">
        <v>22898</v>
      </c>
      <c r="BW4" s="68" t="n">
        <v>2.02435706419641</v>
      </c>
      <c r="BX4" s="68" t="n">
        <v>3.3319500226728</v>
      </c>
      <c r="BY4" s="68" t="n">
        <v>52.25</v>
      </c>
      <c r="BZ4" s="68" t="n">
        <v>112607</v>
      </c>
      <c r="CA4" s="68" t="n">
        <v>315888</v>
      </c>
      <c r="CB4" s="68" t="n">
        <v>0</v>
      </c>
      <c r="CC4" s="68" t="n">
        <v>115100</v>
      </c>
      <c r="CD4" s="68" t="n">
        <v>23</v>
      </c>
      <c r="CE4" s="68" t="n">
        <v>5</v>
      </c>
    </row>
    <row r="5" customFormat="false" ht="12.75" hidden="false" customHeight="true" outlineLevel="0" collapsed="false">
      <c r="A5" s="68" t="s">
        <v>31</v>
      </c>
      <c r="B5" s="68" t="s">
        <v>32</v>
      </c>
      <c r="C5" s="68" t="n">
        <v>8</v>
      </c>
      <c r="D5" s="68" t="n">
        <v>10</v>
      </c>
      <c r="E5" s="68" t="n">
        <v>0</v>
      </c>
      <c r="F5" s="68" t="n">
        <v>8</v>
      </c>
      <c r="G5" s="68" t="n">
        <v>35</v>
      </c>
      <c r="H5" s="68" t="n">
        <v>7</v>
      </c>
      <c r="I5" s="68" t="n">
        <v>20</v>
      </c>
      <c r="J5" s="68" t="n">
        <v>0</v>
      </c>
      <c r="K5" s="68" t="n">
        <v>144</v>
      </c>
      <c r="L5" s="68" t="n">
        <v>12</v>
      </c>
      <c r="M5" s="68" t="n">
        <v>0</v>
      </c>
      <c r="N5" s="68" t="n">
        <v>7.5</v>
      </c>
      <c r="O5" s="68" t="n">
        <v>0</v>
      </c>
      <c r="P5" s="68" t="n">
        <v>0</v>
      </c>
      <c r="Q5" s="68" t="n">
        <v>0</v>
      </c>
      <c r="R5" s="68" t="n">
        <v>0</v>
      </c>
      <c r="S5" s="68" t="n">
        <v>0</v>
      </c>
      <c r="T5" s="68" t="n">
        <v>18</v>
      </c>
      <c r="U5" s="68" t="n">
        <v>5</v>
      </c>
      <c r="V5" s="68" t="n">
        <v>0</v>
      </c>
      <c r="W5" s="68" t="n">
        <v>2</v>
      </c>
      <c r="X5" s="68" t="n">
        <v>29</v>
      </c>
      <c r="Y5" s="68" t="n">
        <v>7</v>
      </c>
      <c r="Z5" s="68" t="n">
        <v>33</v>
      </c>
      <c r="AA5" s="68"/>
      <c r="AB5" s="68" t="n">
        <v>2</v>
      </c>
      <c r="AC5" s="68" t="n">
        <v>0.0189154867895404</v>
      </c>
      <c r="AD5" s="68" t="n">
        <v>40.7637927780574</v>
      </c>
      <c r="AE5" s="68" t="n">
        <v>0</v>
      </c>
      <c r="AF5" s="68" t="n">
        <v>3.93180674383493</v>
      </c>
      <c r="AG5" s="68" t="n">
        <v>17</v>
      </c>
      <c r="AH5" s="68"/>
      <c r="AI5" s="68" t="n">
        <v>7</v>
      </c>
      <c r="AJ5" s="68" t="n">
        <v>23</v>
      </c>
      <c r="AK5" s="68" t="n">
        <v>2</v>
      </c>
      <c r="AL5" s="68" t="n">
        <v>7</v>
      </c>
      <c r="AM5" s="68" t="n">
        <v>2</v>
      </c>
      <c r="AN5" s="68" t="n">
        <v>10</v>
      </c>
      <c r="AO5" s="68" t="n">
        <v>0</v>
      </c>
      <c r="AP5" s="68" t="n">
        <v>3</v>
      </c>
      <c r="AQ5" s="68" t="n">
        <v>13</v>
      </c>
      <c r="AR5" s="68" t="n">
        <v>1</v>
      </c>
      <c r="AS5" s="68" t="n">
        <v>3</v>
      </c>
      <c r="AT5" s="68" t="n">
        <v>2</v>
      </c>
      <c r="AU5" s="68" t="n">
        <v>5</v>
      </c>
      <c r="AV5" s="68" t="n">
        <v>1</v>
      </c>
      <c r="AW5" s="68" t="n">
        <v>0</v>
      </c>
      <c r="AX5" s="68" t="n">
        <v>51.8441659305879</v>
      </c>
      <c r="AY5" s="68" t="n">
        <v>0.942060895822849</v>
      </c>
      <c r="AZ5" s="68" t="n">
        <v>379971.011672481</v>
      </c>
      <c r="BA5" s="68" t="n">
        <v>89.1</v>
      </c>
      <c r="BB5" s="68" t="n">
        <v>73.2</v>
      </c>
      <c r="BC5" s="68" t="n">
        <v>10.3262483771482</v>
      </c>
      <c r="BD5" s="68" t="n">
        <v>47.1816809260191</v>
      </c>
      <c r="BE5" s="68" t="n">
        <v>1</v>
      </c>
      <c r="BF5" s="68" t="n">
        <v>108</v>
      </c>
      <c r="BG5" s="68" t="n">
        <v>16</v>
      </c>
      <c r="BH5" s="68" t="n">
        <v>18.4794916960242</v>
      </c>
      <c r="BI5" s="68" t="n">
        <v>578</v>
      </c>
      <c r="BJ5" s="68" t="n">
        <v>19.4297520661157</v>
      </c>
      <c r="BK5" s="68" t="n">
        <v>18.4873553095118</v>
      </c>
      <c r="BL5" s="68" t="n">
        <v>9674</v>
      </c>
      <c r="BM5" s="68" t="n">
        <v>29.2526421741319</v>
      </c>
      <c r="BN5" s="68" t="n">
        <v>36</v>
      </c>
      <c r="BO5" s="68" t="n">
        <v>1.9</v>
      </c>
      <c r="BP5" s="68" t="n">
        <v>1</v>
      </c>
      <c r="BQ5" s="68" t="n">
        <v>3</v>
      </c>
      <c r="BR5" s="68" t="n">
        <v>0</v>
      </c>
      <c r="BS5" s="68" t="n">
        <v>15</v>
      </c>
      <c r="BT5" s="68" t="n">
        <v>168508</v>
      </c>
      <c r="BU5" s="68" t="n">
        <v>14222</v>
      </c>
      <c r="BV5" s="68" t="n">
        <v>2416</v>
      </c>
      <c r="BW5" s="68" t="n">
        <v>0</v>
      </c>
      <c r="BX5" s="68" t="n">
        <v>3.63534851534977</v>
      </c>
      <c r="BY5" s="68" t="n">
        <v>24.39</v>
      </c>
      <c r="BZ5" s="68" t="n">
        <v>55812</v>
      </c>
      <c r="CA5" s="68" t="n">
        <v>24873</v>
      </c>
      <c r="CB5" s="68" t="n">
        <v>0</v>
      </c>
      <c r="CC5" s="68" t="n">
        <v>2552</v>
      </c>
      <c r="CD5" s="68" t="n">
        <v>11.33</v>
      </c>
      <c r="CE5" s="68" t="n">
        <v>2</v>
      </c>
    </row>
    <row r="6" customFormat="false" ht="12.75" hidden="false" customHeight="true" outlineLevel="0" collapsed="false">
      <c r="A6" s="68" t="s">
        <v>35</v>
      </c>
      <c r="B6" s="68" t="s">
        <v>36</v>
      </c>
      <c r="C6" s="68" t="n">
        <v>23</v>
      </c>
      <c r="D6" s="68" t="n">
        <v>7</v>
      </c>
      <c r="E6" s="68" t="n">
        <v>0</v>
      </c>
      <c r="F6" s="68" t="n">
        <v>2</v>
      </c>
      <c r="G6" s="68" t="n">
        <v>52</v>
      </c>
      <c r="H6" s="68" t="n">
        <v>7</v>
      </c>
      <c r="I6" s="68" t="n">
        <v>18.3</v>
      </c>
      <c r="J6" s="68" t="n">
        <v>4</v>
      </c>
      <c r="K6" s="68" t="n">
        <v>80</v>
      </c>
      <c r="L6" s="68" t="n">
        <v>22</v>
      </c>
      <c r="M6" s="68" t="n">
        <v>2</v>
      </c>
      <c r="N6" s="68" t="n">
        <v>1.7</v>
      </c>
      <c r="O6" s="68" t="n">
        <v>0</v>
      </c>
      <c r="P6" s="68" t="n">
        <v>1</v>
      </c>
      <c r="Q6" s="68" t="n">
        <v>0</v>
      </c>
      <c r="R6" s="68" t="n">
        <v>7</v>
      </c>
      <c r="S6" s="68" t="n">
        <v>1</v>
      </c>
      <c r="T6" s="68" t="n">
        <v>69</v>
      </c>
      <c r="U6" s="68" t="n">
        <v>2</v>
      </c>
      <c r="V6" s="68" t="n">
        <v>1</v>
      </c>
      <c r="W6" s="68" t="n">
        <v>0</v>
      </c>
      <c r="X6" s="68" t="n">
        <v>29</v>
      </c>
      <c r="Y6" s="68" t="n">
        <v>27</v>
      </c>
      <c r="Z6" s="68" t="n">
        <v>97</v>
      </c>
      <c r="AA6" s="68" t="n">
        <v>0.770479966683013</v>
      </c>
      <c r="AB6" s="68" t="n">
        <v>0.4</v>
      </c>
      <c r="AC6" s="68" t="n">
        <v>0.354951912144621</v>
      </c>
      <c r="AD6" s="68" t="n">
        <v>25.4450357255351</v>
      </c>
      <c r="AE6" s="68" t="n">
        <v>1</v>
      </c>
      <c r="AF6" s="68" t="n">
        <v>0</v>
      </c>
      <c r="AG6" s="68" t="n">
        <v>37</v>
      </c>
      <c r="AH6" s="68" t="n">
        <v>1.50056836398613</v>
      </c>
      <c r="AI6" s="68" t="n">
        <v>4</v>
      </c>
      <c r="AJ6" s="68" t="n">
        <v>16</v>
      </c>
      <c r="AK6" s="68" t="n">
        <v>7</v>
      </c>
      <c r="AL6" s="68" t="n">
        <v>0</v>
      </c>
      <c r="AM6" s="68" t="n">
        <v>1</v>
      </c>
      <c r="AN6" s="68" t="n">
        <v>21</v>
      </c>
      <c r="AO6" s="68" t="n">
        <v>0</v>
      </c>
      <c r="AP6" s="68" t="n">
        <v>18</v>
      </c>
      <c r="AQ6" s="68" t="n">
        <v>0</v>
      </c>
      <c r="AR6" s="68" t="n">
        <v>9</v>
      </c>
      <c r="AS6" s="68" t="n">
        <v>1</v>
      </c>
      <c r="AT6" s="68" t="n">
        <v>0</v>
      </c>
      <c r="AU6" s="68" t="n">
        <v>5</v>
      </c>
      <c r="AV6" s="68" t="n">
        <v>2</v>
      </c>
      <c r="AW6" s="68" t="n">
        <v>1</v>
      </c>
      <c r="AX6" s="68" t="n">
        <v>56.4978042930074</v>
      </c>
      <c r="AY6" s="68" t="n">
        <v>0.923724739311351</v>
      </c>
      <c r="AZ6" s="68" t="n">
        <v>338013.993752114</v>
      </c>
      <c r="BA6" s="68" t="n">
        <v>92.7</v>
      </c>
      <c r="BB6" s="68" t="n">
        <v>71.2</v>
      </c>
      <c r="BC6" s="68" t="n">
        <v>9.71876016119074</v>
      </c>
      <c r="BD6" s="68" t="n">
        <v>43.1027337079956</v>
      </c>
      <c r="BE6" s="68" t="n">
        <v>7</v>
      </c>
      <c r="BF6" s="68" t="n">
        <v>870</v>
      </c>
      <c r="BG6" s="68" t="n">
        <v>85</v>
      </c>
      <c r="BH6" s="68" t="n">
        <v>6.96274929129159</v>
      </c>
      <c r="BI6" s="68" t="n">
        <v>1074</v>
      </c>
      <c r="BJ6" s="68" t="n">
        <v>15.5032894736842</v>
      </c>
      <c r="BK6" s="68" t="n">
        <v>15.6263987665987</v>
      </c>
      <c r="BL6" s="68" t="n">
        <v>24346</v>
      </c>
      <c r="BM6" s="68" t="n">
        <v>12.0024535402265</v>
      </c>
      <c r="BN6" s="68" t="n">
        <v>35.2</v>
      </c>
      <c r="BO6" s="68" t="n">
        <v>2.8</v>
      </c>
      <c r="BP6" s="68" t="n">
        <v>4</v>
      </c>
      <c r="BQ6" s="68" t="n">
        <v>9</v>
      </c>
      <c r="BR6" s="68" t="n">
        <v>383.9</v>
      </c>
      <c r="BS6" s="68" t="n">
        <v>750</v>
      </c>
      <c r="BT6" s="68" t="n">
        <v>205850</v>
      </c>
      <c r="BU6" s="68" t="n">
        <v>25803</v>
      </c>
      <c r="BV6" s="68" t="n">
        <v>2786</v>
      </c>
      <c r="BW6" s="68" t="n">
        <v>0</v>
      </c>
      <c r="BX6" s="68" t="n">
        <v>1.91238540475125</v>
      </c>
      <c r="BY6" s="68" t="n">
        <v>283.37</v>
      </c>
      <c r="BZ6" s="68" t="n">
        <v>116263</v>
      </c>
      <c r="CA6" s="68" t="n">
        <v>57234</v>
      </c>
      <c r="CB6" s="68" t="n">
        <v>0</v>
      </c>
      <c r="CC6" s="68" t="n">
        <v>15265</v>
      </c>
      <c r="CD6" s="68" t="n">
        <v>228.58</v>
      </c>
      <c r="CE6" s="68" t="n">
        <v>1</v>
      </c>
    </row>
    <row r="7" customFormat="false" ht="12.75" hidden="false" customHeight="true" outlineLevel="0" collapsed="false">
      <c r="A7" s="68" t="s">
        <v>39</v>
      </c>
      <c r="B7" s="68" t="s">
        <v>40</v>
      </c>
      <c r="C7" s="68" t="n">
        <v>14</v>
      </c>
      <c r="D7" s="68" t="n">
        <v>37</v>
      </c>
      <c r="E7" s="68" t="n">
        <v>2</v>
      </c>
      <c r="F7" s="68" t="n">
        <v>24</v>
      </c>
      <c r="G7" s="68" t="n">
        <v>161</v>
      </c>
      <c r="H7" s="68" t="n">
        <v>12</v>
      </c>
      <c r="I7" s="68" t="n">
        <v>25.7</v>
      </c>
      <c r="J7" s="68" t="n">
        <v>7</v>
      </c>
      <c r="K7" s="68" t="n">
        <v>322</v>
      </c>
      <c r="L7" s="68" t="n">
        <v>56</v>
      </c>
      <c r="M7" s="68" t="n">
        <v>7</v>
      </c>
      <c r="N7" s="68" t="n">
        <v>3.2</v>
      </c>
      <c r="O7" s="68" t="n">
        <v>3</v>
      </c>
      <c r="P7" s="68" t="n">
        <v>3</v>
      </c>
      <c r="Q7" s="68" t="n">
        <v>1</v>
      </c>
      <c r="R7" s="68" t="n">
        <v>4</v>
      </c>
      <c r="S7" s="68" t="n">
        <v>2</v>
      </c>
      <c r="T7" s="68" t="n">
        <v>48</v>
      </c>
      <c r="U7" s="68" t="n">
        <v>21</v>
      </c>
      <c r="V7" s="68" t="n">
        <v>4</v>
      </c>
      <c r="W7" s="68" t="n">
        <v>46</v>
      </c>
      <c r="X7" s="68" t="n">
        <v>90</v>
      </c>
      <c r="Y7" s="68" t="n">
        <v>36</v>
      </c>
      <c r="Z7" s="68" t="n">
        <v>720</v>
      </c>
      <c r="AA7" s="68" t="n">
        <v>6.48788431395271</v>
      </c>
      <c r="AB7" s="68" t="n">
        <v>2.7</v>
      </c>
      <c r="AC7" s="68" t="n">
        <v>2.10929090207843</v>
      </c>
      <c r="AD7" s="68" t="n">
        <v>38.4561633195918</v>
      </c>
      <c r="AE7" s="68" t="n">
        <v>13</v>
      </c>
      <c r="AF7" s="68" t="n">
        <v>0</v>
      </c>
      <c r="AG7" s="68" t="n">
        <v>59</v>
      </c>
      <c r="AH7" s="68" t="n">
        <v>6.63769337970933</v>
      </c>
      <c r="AI7" s="68" t="n">
        <v>13</v>
      </c>
      <c r="AJ7" s="68" t="n">
        <v>71</v>
      </c>
      <c r="AK7" s="68" t="n">
        <v>3</v>
      </c>
      <c r="AL7" s="68" t="n">
        <v>0</v>
      </c>
      <c r="AM7" s="68" t="n">
        <v>3</v>
      </c>
      <c r="AN7" s="68" t="n">
        <v>14</v>
      </c>
      <c r="AO7" s="68" t="n">
        <v>3</v>
      </c>
      <c r="AP7" s="68" t="n">
        <v>22</v>
      </c>
      <c r="AQ7" s="68" t="n">
        <v>1</v>
      </c>
      <c r="AR7" s="68" t="n">
        <v>0</v>
      </c>
      <c r="AS7" s="68" t="n">
        <v>0</v>
      </c>
      <c r="AT7" s="68" t="n">
        <v>14</v>
      </c>
      <c r="AU7" s="68" t="n">
        <v>5</v>
      </c>
      <c r="AV7" s="68" t="n">
        <v>3</v>
      </c>
      <c r="AW7" s="68" t="n">
        <v>2</v>
      </c>
      <c r="AX7" s="68" t="n">
        <v>53.5337533718935</v>
      </c>
      <c r="AY7" s="68" t="n">
        <v>0.988017030208098</v>
      </c>
      <c r="AZ7" s="68" t="n">
        <v>311263.792433985</v>
      </c>
      <c r="BA7" s="68" t="n">
        <v>92.9</v>
      </c>
      <c r="BB7" s="68" t="n">
        <v>73.5</v>
      </c>
      <c r="BC7" s="68" t="n">
        <v>10.6417489674584</v>
      </c>
      <c r="BD7" s="68" t="n">
        <v>27.2753485399896</v>
      </c>
      <c r="BE7" s="68" t="n">
        <v>21</v>
      </c>
      <c r="BF7" s="68" t="n">
        <v>3949</v>
      </c>
      <c r="BG7" s="68" t="n">
        <v>316</v>
      </c>
      <c r="BH7" s="68" t="n">
        <v>12.2089655369477</v>
      </c>
      <c r="BI7" s="68" t="n">
        <v>3661</v>
      </c>
      <c r="BJ7" s="68" t="n">
        <v>17.2070116861436</v>
      </c>
      <c r="BK7" s="68" t="n">
        <v>13.3870008286511</v>
      </c>
      <c r="BL7" s="68" t="n">
        <v>44504</v>
      </c>
      <c r="BM7" s="68" t="n">
        <v>21.1838540327252</v>
      </c>
      <c r="BN7" s="68" t="n">
        <v>29.7</v>
      </c>
      <c r="BO7" s="68" t="n">
        <v>2</v>
      </c>
      <c r="BP7" s="68" t="n">
        <v>14</v>
      </c>
      <c r="BQ7" s="68" t="n">
        <v>27</v>
      </c>
      <c r="BR7" s="68" t="n">
        <v>920</v>
      </c>
      <c r="BS7" s="68" t="n">
        <v>257</v>
      </c>
      <c r="BT7" s="68" t="n">
        <v>430436</v>
      </c>
      <c r="BU7" s="68" t="n">
        <v>106915</v>
      </c>
      <c r="BV7" s="68" t="n">
        <v>317309</v>
      </c>
      <c r="BW7" s="68" t="n">
        <v>0.649413060475942</v>
      </c>
      <c r="BX7" s="68" t="n">
        <v>0.196923538878949</v>
      </c>
      <c r="BY7" s="68" t="n">
        <v>280.95</v>
      </c>
      <c r="BZ7" s="68" t="n">
        <v>316618</v>
      </c>
      <c r="CA7" s="68" t="n">
        <v>146161</v>
      </c>
      <c r="CB7" s="68" t="n">
        <v>31</v>
      </c>
      <c r="CC7" s="68" t="n">
        <v>436195</v>
      </c>
      <c r="CD7" s="68" t="n">
        <v>93.86</v>
      </c>
      <c r="CE7" s="68" t="n">
        <v>1</v>
      </c>
    </row>
    <row r="8" customFormat="false" ht="12.75" hidden="false" customHeight="true" outlineLevel="0" collapsed="false">
      <c r="A8" s="68" t="s">
        <v>42</v>
      </c>
      <c r="B8" s="68" t="s">
        <v>43</v>
      </c>
      <c r="C8" s="68" t="n">
        <v>4</v>
      </c>
      <c r="D8" s="68" t="n">
        <v>56</v>
      </c>
      <c r="E8" s="68" t="n">
        <v>0</v>
      </c>
      <c r="F8" s="68" t="n">
        <v>1</v>
      </c>
      <c r="G8" s="68" t="n">
        <v>404</v>
      </c>
      <c r="H8" s="68" t="n">
        <v>35</v>
      </c>
      <c r="I8" s="68" t="n">
        <v>22.5</v>
      </c>
      <c r="J8" s="68" t="n">
        <v>70</v>
      </c>
      <c r="K8" s="68" t="n">
        <v>6558</v>
      </c>
      <c r="L8" s="68" t="n">
        <v>127</v>
      </c>
      <c r="M8" s="68" t="n">
        <v>25</v>
      </c>
      <c r="N8" s="68" t="n">
        <v>4.1</v>
      </c>
      <c r="O8" s="68" t="n">
        <v>30</v>
      </c>
      <c r="P8" s="68" t="n">
        <v>0</v>
      </c>
      <c r="Q8" s="68" t="n">
        <v>0</v>
      </c>
      <c r="R8" s="68" t="n">
        <v>3</v>
      </c>
      <c r="S8" s="68" t="n">
        <v>2</v>
      </c>
      <c r="T8" s="68" t="n">
        <v>5</v>
      </c>
      <c r="U8" s="68" t="n">
        <v>9</v>
      </c>
      <c r="V8" s="68" t="n">
        <v>4</v>
      </c>
      <c r="W8" s="68" t="n">
        <v>4</v>
      </c>
      <c r="X8" s="68" t="n">
        <v>85</v>
      </c>
      <c r="Y8" s="68" t="n">
        <v>112</v>
      </c>
      <c r="Z8" s="68" t="n">
        <v>274</v>
      </c>
      <c r="AA8" s="68" t="n">
        <v>6.85240729199127</v>
      </c>
      <c r="AB8" s="68" t="n">
        <v>0.9</v>
      </c>
      <c r="AC8" s="68" t="n">
        <v>7.24653426077439</v>
      </c>
      <c r="AD8" s="68" t="n">
        <v>47.0268437607498</v>
      </c>
      <c r="AE8" s="68" t="n">
        <v>16</v>
      </c>
      <c r="AF8" s="68" t="n">
        <v>0</v>
      </c>
      <c r="AG8" s="68" t="n">
        <v>0</v>
      </c>
      <c r="AH8" s="68" t="n">
        <v>0.0373580661286867</v>
      </c>
      <c r="AI8" s="68" t="n">
        <v>3</v>
      </c>
      <c r="AJ8" s="68" t="n">
        <v>3</v>
      </c>
      <c r="AK8" s="68" t="n">
        <v>0</v>
      </c>
      <c r="AL8" s="68" t="n">
        <v>3</v>
      </c>
      <c r="AM8" s="68" t="n">
        <v>4</v>
      </c>
      <c r="AN8" s="68" t="n">
        <v>0</v>
      </c>
      <c r="AO8" s="68" t="n">
        <v>5</v>
      </c>
      <c r="AP8" s="68" t="n">
        <v>9</v>
      </c>
      <c r="AQ8" s="68" t="n">
        <v>0</v>
      </c>
      <c r="AR8" s="68" t="n">
        <v>0</v>
      </c>
      <c r="AS8" s="68" t="n">
        <v>0</v>
      </c>
      <c r="AT8" s="68" t="n">
        <v>0</v>
      </c>
      <c r="AU8" s="68" t="n">
        <v>5</v>
      </c>
      <c r="AV8" s="68" t="n">
        <v>0</v>
      </c>
      <c r="AW8" s="68" t="n">
        <v>0</v>
      </c>
      <c r="AX8" s="68" t="n">
        <v>55.9013431997682</v>
      </c>
      <c r="AY8" s="68" t="n">
        <v>6.06000048678818</v>
      </c>
      <c r="AZ8" s="68" t="n">
        <v>421484.211363516</v>
      </c>
      <c r="BA8" s="68" t="n">
        <v>93.1</v>
      </c>
      <c r="BB8" s="68" t="n">
        <v>70.5</v>
      </c>
      <c r="BC8" s="68" t="n">
        <v>11.1942232202175</v>
      </c>
      <c r="BD8" s="68" t="n">
        <v>18.9731875862558</v>
      </c>
      <c r="BE8" s="68" t="n">
        <v>30</v>
      </c>
      <c r="BF8" s="68" t="n">
        <v>12881</v>
      </c>
      <c r="BG8" s="68" t="n">
        <v>1261</v>
      </c>
      <c r="BH8" s="68" t="n">
        <v>4.83403822849822</v>
      </c>
      <c r="BI8" s="68" t="n">
        <v>15221</v>
      </c>
      <c r="BJ8" s="68" t="n">
        <v>38.125</v>
      </c>
      <c r="BK8" s="68" t="n">
        <v>4.32753661206513</v>
      </c>
      <c r="BL8" s="68" t="n">
        <v>43634</v>
      </c>
      <c r="BM8" s="68" t="n">
        <v>9.32325939564623</v>
      </c>
      <c r="BN8" s="68" t="n">
        <v>59.8</v>
      </c>
      <c r="BO8" s="68" t="n">
        <v>2.2</v>
      </c>
      <c r="BP8" s="68" t="n">
        <v>15</v>
      </c>
      <c r="BQ8" s="68" t="n">
        <v>133</v>
      </c>
      <c r="BR8" s="68" t="n">
        <v>754.2</v>
      </c>
      <c r="BS8" s="68" t="n">
        <v>236</v>
      </c>
      <c r="BT8" s="68" t="n">
        <v>448887</v>
      </c>
      <c r="BU8" s="68" t="n">
        <v>765681</v>
      </c>
      <c r="BV8" s="68" t="n">
        <v>1091111</v>
      </c>
      <c r="BW8" s="68" t="n">
        <v>1.28102153781512</v>
      </c>
      <c r="BX8" s="68" t="n">
        <v>0.730635151949668</v>
      </c>
      <c r="BY8" s="68" t="n">
        <v>541.32</v>
      </c>
      <c r="BZ8" s="68" t="n">
        <v>1306140</v>
      </c>
      <c r="CA8" s="68" t="n">
        <v>83459</v>
      </c>
      <c r="CB8" s="68" t="n">
        <v>0</v>
      </c>
      <c r="CC8" s="68" t="n">
        <v>1147039</v>
      </c>
      <c r="CD8" s="68" t="n">
        <v>248.5</v>
      </c>
      <c r="CE8" s="68" t="n">
        <v>1</v>
      </c>
    </row>
    <row r="9" customFormat="false" ht="12.75" hidden="false" customHeight="true" outlineLevel="0" collapsed="false">
      <c r="A9" s="68" t="s">
        <v>46</v>
      </c>
      <c r="B9" s="68" t="s">
        <v>47</v>
      </c>
      <c r="C9" s="68" t="n">
        <v>32</v>
      </c>
      <c r="D9" s="68" t="n">
        <v>13</v>
      </c>
      <c r="E9" s="68" t="n">
        <v>1</v>
      </c>
      <c r="F9" s="68" t="n">
        <v>9</v>
      </c>
      <c r="G9" s="68" t="n">
        <v>67</v>
      </c>
      <c r="H9" s="68" t="n">
        <v>6</v>
      </c>
      <c r="I9" s="68" t="n">
        <v>21.9</v>
      </c>
      <c r="J9" s="68" t="n">
        <v>13</v>
      </c>
      <c r="K9" s="68" t="n">
        <v>251</v>
      </c>
      <c r="L9" s="68" t="n">
        <v>36</v>
      </c>
      <c r="M9" s="68" t="n">
        <v>0</v>
      </c>
      <c r="N9" s="68" t="n">
        <v>1.9</v>
      </c>
      <c r="O9" s="68" t="n">
        <v>1</v>
      </c>
      <c r="P9" s="68" t="n">
        <v>7</v>
      </c>
      <c r="Q9" s="68" t="n">
        <v>2</v>
      </c>
      <c r="R9" s="68" t="n">
        <v>3</v>
      </c>
      <c r="S9" s="68" t="n">
        <v>16</v>
      </c>
      <c r="T9" s="68" t="n">
        <v>29</v>
      </c>
      <c r="U9" s="68" t="n">
        <v>3</v>
      </c>
      <c r="V9" s="68" t="n">
        <v>1</v>
      </c>
      <c r="W9" s="68" t="n">
        <v>0</v>
      </c>
      <c r="X9" s="68" t="n">
        <v>28</v>
      </c>
      <c r="Y9" s="68" t="n">
        <v>15</v>
      </c>
      <c r="Z9" s="68" t="n">
        <v>229</v>
      </c>
      <c r="AA9" s="68" t="n">
        <v>11.3085372551413</v>
      </c>
      <c r="AB9" s="68" t="n">
        <v>2.8</v>
      </c>
      <c r="AC9" s="68" t="n">
        <v>0.920951490294116</v>
      </c>
      <c r="AD9" s="68" t="n">
        <v>27.1511233918376</v>
      </c>
      <c r="AE9" s="68" t="n">
        <v>4</v>
      </c>
      <c r="AF9" s="68" t="n">
        <v>1.28102153781512</v>
      </c>
      <c r="AG9" s="68" t="n">
        <v>12</v>
      </c>
      <c r="AH9" s="68" t="n">
        <v>2.47464117333786</v>
      </c>
      <c r="AI9" s="68" t="n">
        <v>5</v>
      </c>
      <c r="AJ9" s="68" t="n">
        <v>22</v>
      </c>
      <c r="AK9" s="68" t="n">
        <v>1</v>
      </c>
      <c r="AL9" s="68" t="n">
        <v>3</v>
      </c>
      <c r="AM9" s="68" t="n">
        <v>2</v>
      </c>
      <c r="AN9" s="68" t="n">
        <v>2</v>
      </c>
      <c r="AO9" s="68" t="n">
        <v>7</v>
      </c>
      <c r="AP9" s="68" t="n">
        <v>5</v>
      </c>
      <c r="AQ9" s="68" t="n">
        <v>2</v>
      </c>
      <c r="AR9" s="68" t="n">
        <v>1</v>
      </c>
      <c r="AS9" s="68" t="n">
        <v>1</v>
      </c>
      <c r="AT9" s="68" t="n">
        <v>7</v>
      </c>
      <c r="AU9" s="68" t="n">
        <v>5</v>
      </c>
      <c r="AV9" s="68" t="n">
        <v>0</v>
      </c>
      <c r="AW9" s="68" t="n">
        <v>0</v>
      </c>
      <c r="AX9" s="68" t="n">
        <v>54.6621534294484</v>
      </c>
      <c r="AY9" s="68" t="n">
        <v>0.621519507277306</v>
      </c>
      <c r="AZ9" s="68" t="n">
        <v>308068.301612255</v>
      </c>
      <c r="BA9" s="68" t="n">
        <v>95.5</v>
      </c>
      <c r="BB9" s="68" t="n">
        <v>65</v>
      </c>
      <c r="BC9" s="68" t="n">
        <v>9.49471914907972</v>
      </c>
      <c r="BD9" s="68" t="n">
        <v>23.0583876806721</v>
      </c>
      <c r="BE9" s="68" t="n">
        <v>7</v>
      </c>
      <c r="BF9" s="68" t="n">
        <v>352</v>
      </c>
      <c r="BG9" s="68" t="n">
        <v>15</v>
      </c>
      <c r="BH9" s="68" t="n">
        <v>9.9919679949579</v>
      </c>
      <c r="BI9" s="68" t="n">
        <v>2833</v>
      </c>
      <c r="BJ9" s="68" t="n">
        <v>17.463687150838</v>
      </c>
      <c r="BK9" s="68" t="n">
        <v>8.0089466544201</v>
      </c>
      <c r="BL9" s="68" t="n">
        <v>14526</v>
      </c>
      <c r="BM9" s="68" t="n">
        <v>6.34105661218482</v>
      </c>
      <c r="BN9" s="68" t="n">
        <v>15.4</v>
      </c>
      <c r="BO9" s="68" t="n">
        <v>2.2</v>
      </c>
      <c r="BP9" s="68" t="n">
        <v>2</v>
      </c>
      <c r="BQ9" s="68" t="n">
        <v>7</v>
      </c>
      <c r="BR9" s="68" t="n">
        <v>10</v>
      </c>
      <c r="BS9" s="68" t="n">
        <v>0</v>
      </c>
      <c r="BT9" s="68" t="n">
        <v>73478</v>
      </c>
      <c r="BU9" s="68" t="n">
        <v>7066</v>
      </c>
      <c r="BV9" s="68"/>
      <c r="BW9" s="68" t="n">
        <v>0</v>
      </c>
      <c r="BX9" s="68" t="n">
        <v>1.35213104337923</v>
      </c>
      <c r="BY9" s="68" t="n">
        <v>134.5</v>
      </c>
      <c r="BZ9" s="68" t="n">
        <v>164204</v>
      </c>
      <c r="CA9" s="68" t="n">
        <v>11073</v>
      </c>
      <c r="CB9" s="68" t="n">
        <v>0</v>
      </c>
      <c r="CC9" s="68" t="n">
        <v>0</v>
      </c>
      <c r="CD9" s="68" t="n">
        <v>62.12</v>
      </c>
      <c r="CE9" s="68" t="n">
        <v>0</v>
      </c>
    </row>
    <row r="10" customFormat="false" ht="12.75" hidden="false" customHeight="true" outlineLevel="0" collapsed="false">
      <c r="A10" s="68" t="s">
        <v>50</v>
      </c>
      <c r="B10" s="68" t="s">
        <v>51</v>
      </c>
      <c r="C10" s="68" t="n">
        <v>29</v>
      </c>
      <c r="D10" s="68" t="n">
        <v>17</v>
      </c>
      <c r="E10" s="68" t="n">
        <v>0</v>
      </c>
      <c r="F10" s="68" t="n">
        <v>1</v>
      </c>
      <c r="G10" s="68" t="n">
        <v>54</v>
      </c>
      <c r="H10" s="68" t="n">
        <v>7</v>
      </c>
      <c r="I10" s="68" t="n">
        <v>11.1</v>
      </c>
      <c r="J10" s="68" t="n">
        <v>9</v>
      </c>
      <c r="K10" s="68" t="n">
        <v>657</v>
      </c>
      <c r="L10" s="68" t="n">
        <v>29</v>
      </c>
      <c r="M10" s="68" t="n">
        <v>1</v>
      </c>
      <c r="N10" s="68" t="n">
        <v>1.6</v>
      </c>
      <c r="O10" s="68" t="n">
        <v>1</v>
      </c>
      <c r="P10" s="68" t="n">
        <v>7</v>
      </c>
      <c r="Q10" s="68" t="n">
        <v>0</v>
      </c>
      <c r="R10" s="68" t="n">
        <v>0</v>
      </c>
      <c r="S10" s="68" t="n">
        <v>10</v>
      </c>
      <c r="T10" s="68" t="n">
        <v>27</v>
      </c>
      <c r="U10" s="68" t="n">
        <v>4</v>
      </c>
      <c r="V10" s="68" t="n">
        <v>3</v>
      </c>
      <c r="W10" s="68" t="n">
        <v>0</v>
      </c>
      <c r="X10" s="68" t="n">
        <v>37</v>
      </c>
      <c r="Y10" s="68" t="n">
        <v>28</v>
      </c>
      <c r="Z10" s="68" t="n">
        <v>19</v>
      </c>
      <c r="AA10" s="68" t="n">
        <v>12.698466139206</v>
      </c>
      <c r="AB10" s="68" t="n">
        <v>0.6</v>
      </c>
      <c r="AC10" s="68" t="n">
        <v>0.411696333885549</v>
      </c>
      <c r="AD10" s="68" t="n">
        <v>32.8581638305159</v>
      </c>
      <c r="AE10" s="68" t="n">
        <v>5</v>
      </c>
      <c r="AF10" s="68" t="n">
        <v>0</v>
      </c>
      <c r="AG10" s="68" t="n">
        <v>18</v>
      </c>
      <c r="AH10" s="68" t="n">
        <v>0.816754247514644</v>
      </c>
      <c r="AI10" s="68" t="n">
        <v>0</v>
      </c>
      <c r="AJ10" s="68" t="n">
        <v>20</v>
      </c>
      <c r="AK10" s="68" t="n">
        <v>23</v>
      </c>
      <c r="AL10" s="68" t="n">
        <v>12</v>
      </c>
      <c r="AM10" s="68" t="n">
        <v>7</v>
      </c>
      <c r="AN10" s="68" t="n">
        <v>5</v>
      </c>
      <c r="AO10" s="68" t="n">
        <v>6</v>
      </c>
      <c r="AP10" s="68" t="n">
        <v>13</v>
      </c>
      <c r="AQ10" s="68" t="n">
        <v>3</v>
      </c>
      <c r="AR10" s="68" t="n">
        <v>0</v>
      </c>
      <c r="AS10" s="68" t="n">
        <v>0</v>
      </c>
      <c r="AT10" s="68" t="n">
        <v>9</v>
      </c>
      <c r="AU10" s="68" t="n">
        <v>5</v>
      </c>
      <c r="AV10" s="68" t="n">
        <v>0</v>
      </c>
      <c r="AW10" s="68" t="n">
        <v>0</v>
      </c>
      <c r="AX10" s="68" t="n">
        <v>48.1637240860261</v>
      </c>
      <c r="AY10" s="68" t="n">
        <v>0.238509380831796</v>
      </c>
      <c r="AZ10" s="68" t="n">
        <v>244231.060638978</v>
      </c>
      <c r="BA10" s="68" t="n">
        <v>93.4</v>
      </c>
      <c r="BB10" s="68" t="n">
        <v>73.1</v>
      </c>
      <c r="BC10" s="68" t="n">
        <v>9.04581334957847</v>
      </c>
      <c r="BD10" s="68" t="n">
        <v>24.2264868180382</v>
      </c>
      <c r="BE10" s="68" t="n">
        <v>4</v>
      </c>
      <c r="BF10" s="68" t="n">
        <v>364</v>
      </c>
      <c r="BG10" s="68" t="n">
        <v>37</v>
      </c>
      <c r="BH10" s="68" t="n">
        <v>8.69951117556825</v>
      </c>
      <c r="BI10" s="68" t="n">
        <v>2898</v>
      </c>
      <c r="BJ10" s="68" t="n">
        <v>14.4921465968586</v>
      </c>
      <c r="BK10" s="68" t="n">
        <v>6.09626504657542</v>
      </c>
      <c r="BL10" s="68" t="n">
        <v>12278</v>
      </c>
      <c r="BM10" s="68" t="n">
        <v>8.66647505718001</v>
      </c>
      <c r="BN10" s="68" t="n">
        <v>28.4</v>
      </c>
      <c r="BO10" s="68" t="n">
        <v>2</v>
      </c>
      <c r="BP10" s="68" t="n">
        <v>3</v>
      </c>
      <c r="BQ10" s="68" t="n">
        <v>14</v>
      </c>
      <c r="BR10" s="68" t="n">
        <v>0</v>
      </c>
      <c r="BS10" s="68" t="n">
        <v>0</v>
      </c>
      <c r="BT10" s="68" t="n">
        <v>167293</v>
      </c>
      <c r="BU10" s="68" t="n">
        <v>8935</v>
      </c>
      <c r="BV10" s="68" t="n">
        <v>3942</v>
      </c>
      <c r="BW10" s="68" t="n">
        <v>0</v>
      </c>
      <c r="BX10" s="68" t="n">
        <v>1.47985292320094</v>
      </c>
      <c r="BY10" s="68" t="n">
        <v>197.65</v>
      </c>
      <c r="BZ10" s="68" t="n">
        <v>185728</v>
      </c>
      <c r="CA10" s="68" t="n">
        <v>64500</v>
      </c>
      <c r="CB10" s="68" t="n">
        <v>0</v>
      </c>
      <c r="CC10" s="68" t="n">
        <v>853</v>
      </c>
      <c r="CD10" s="68" t="n">
        <v>232.9</v>
      </c>
      <c r="CE10" s="68" t="n">
        <v>2</v>
      </c>
    </row>
    <row r="11" customFormat="false" ht="12.75" hidden="false" customHeight="true" outlineLevel="0" collapsed="false">
      <c r="A11" s="68" t="s">
        <v>53</v>
      </c>
      <c r="B11" s="68" t="s">
        <v>54</v>
      </c>
      <c r="C11" s="68" t="n">
        <v>5</v>
      </c>
      <c r="D11" s="68" t="n">
        <v>32</v>
      </c>
      <c r="E11" s="68" t="n">
        <v>0</v>
      </c>
      <c r="F11" s="68" t="n">
        <v>0</v>
      </c>
      <c r="G11" s="68" t="n">
        <v>59</v>
      </c>
      <c r="H11" s="68" t="n">
        <v>20</v>
      </c>
      <c r="I11" s="68" t="n">
        <v>18.9</v>
      </c>
      <c r="J11" s="68" t="n">
        <v>12</v>
      </c>
      <c r="K11" s="68" t="n">
        <v>488</v>
      </c>
      <c r="L11" s="68" t="n">
        <v>63</v>
      </c>
      <c r="M11" s="68" t="n">
        <v>7</v>
      </c>
      <c r="N11" s="68" t="n">
        <v>3.9</v>
      </c>
      <c r="O11" s="68" t="n">
        <v>10</v>
      </c>
      <c r="P11" s="68" t="n">
        <v>0</v>
      </c>
      <c r="Q11" s="68" t="n">
        <v>0</v>
      </c>
      <c r="R11" s="68" t="n">
        <v>0</v>
      </c>
      <c r="S11" s="68" t="n">
        <v>4</v>
      </c>
      <c r="T11" s="68" t="n">
        <v>13</v>
      </c>
      <c r="U11" s="68" t="n">
        <v>23</v>
      </c>
      <c r="V11" s="68" t="n">
        <v>2</v>
      </c>
      <c r="W11" s="68" t="n">
        <v>0</v>
      </c>
      <c r="X11" s="68" t="n">
        <v>10</v>
      </c>
      <c r="Y11" s="68" t="n">
        <v>54</v>
      </c>
      <c r="Z11" s="68" t="n">
        <v>135</v>
      </c>
      <c r="AA11" s="68" t="n">
        <v>20.733206182035</v>
      </c>
      <c r="AB11" s="68" t="n">
        <v>2.8</v>
      </c>
      <c r="AC11" s="68" t="n">
        <v>0.962910689416315</v>
      </c>
      <c r="AD11" s="68" t="n">
        <v>31.6807605655895</v>
      </c>
      <c r="AE11" s="68" t="n">
        <v>2</v>
      </c>
      <c r="AF11" s="68" t="n">
        <v>1.07436658032341</v>
      </c>
      <c r="AG11" s="68" t="n">
        <v>25</v>
      </c>
      <c r="AH11" s="68" t="n">
        <v>0.725777917195572</v>
      </c>
      <c r="AI11" s="68" t="n">
        <v>3</v>
      </c>
      <c r="AJ11" s="68" t="n">
        <v>7</v>
      </c>
      <c r="AK11" s="68" t="n">
        <v>19</v>
      </c>
      <c r="AL11" s="68" t="n">
        <v>3</v>
      </c>
      <c r="AM11" s="68" t="n">
        <v>2</v>
      </c>
      <c r="AN11" s="68" t="n">
        <v>4</v>
      </c>
      <c r="AO11" s="68" t="n">
        <v>3</v>
      </c>
      <c r="AP11" s="68" t="n">
        <v>2</v>
      </c>
      <c r="AQ11" s="68" t="n">
        <v>0</v>
      </c>
      <c r="AR11" s="68" t="n">
        <v>1</v>
      </c>
      <c r="AS11" s="68" t="n">
        <v>8</v>
      </c>
      <c r="AT11" s="68" t="n">
        <v>0</v>
      </c>
      <c r="AU11" s="68" t="n">
        <v>5</v>
      </c>
      <c r="AV11" s="68" t="n">
        <v>0</v>
      </c>
      <c r="AW11" s="68" t="n">
        <v>0</v>
      </c>
      <c r="AX11" s="68" t="n">
        <v>48.6507603016644</v>
      </c>
      <c r="AY11" s="68" t="n">
        <v>1.2311177813429</v>
      </c>
      <c r="AZ11" s="68" t="n">
        <v>290366.986731594</v>
      </c>
      <c r="BA11" s="68" t="n">
        <v>92.7</v>
      </c>
      <c r="BB11" s="68" t="n">
        <v>71.1</v>
      </c>
      <c r="BC11" s="68" t="n">
        <v>9.91239487243387</v>
      </c>
      <c r="BD11" s="68" t="n">
        <v>23.0988814769532</v>
      </c>
      <c r="BE11" s="68" t="n">
        <v>17</v>
      </c>
      <c r="BF11" s="68" t="n">
        <v>4023</v>
      </c>
      <c r="BG11" s="68" t="n">
        <v>320</v>
      </c>
      <c r="BH11" s="68" t="n">
        <v>1.61154987048511</v>
      </c>
      <c r="BI11" s="68" t="n">
        <v>2334</v>
      </c>
      <c r="BJ11" s="68" t="n">
        <v>16.0384615384615</v>
      </c>
      <c r="BK11" s="68" t="n">
        <v>4.92811950394346</v>
      </c>
      <c r="BL11" s="68" t="n">
        <v>20802</v>
      </c>
      <c r="BM11" s="68" t="n">
        <v>7.8858506995738</v>
      </c>
      <c r="BN11" s="68" t="n">
        <v>36</v>
      </c>
      <c r="BO11" s="68" t="n">
        <v>1.9</v>
      </c>
      <c r="BP11" s="68" t="n">
        <v>5</v>
      </c>
      <c r="BQ11" s="68" t="n">
        <v>12</v>
      </c>
      <c r="BR11" s="68" t="n">
        <v>25</v>
      </c>
      <c r="BS11" s="68" t="n">
        <v>9</v>
      </c>
      <c r="BT11" s="68" t="n">
        <v>393481</v>
      </c>
      <c r="BU11" s="68" t="n">
        <v>31409</v>
      </c>
      <c r="BV11" s="68" t="n">
        <v>1546</v>
      </c>
      <c r="BW11" s="68" t="n">
        <v>0</v>
      </c>
      <c r="BX11" s="68" t="n">
        <v>1.02068585413755</v>
      </c>
      <c r="BY11" s="68" t="n">
        <v>400.89</v>
      </c>
      <c r="BZ11" s="68" t="n">
        <v>312085</v>
      </c>
      <c r="CA11" s="68" t="n">
        <v>49841</v>
      </c>
      <c r="CB11" s="68" t="n">
        <v>0</v>
      </c>
      <c r="CC11" s="68" t="n">
        <v>828</v>
      </c>
      <c r="CD11" s="68" t="n">
        <v>642.26</v>
      </c>
      <c r="CE11" s="68" t="n">
        <v>1</v>
      </c>
    </row>
    <row r="12" customFormat="false" ht="12.75" hidden="false" customHeight="true" outlineLevel="0" collapsed="false">
      <c r="A12" s="68" t="s">
        <v>55</v>
      </c>
      <c r="B12" s="68" t="s">
        <v>56</v>
      </c>
      <c r="C12" s="68" t="n">
        <v>18</v>
      </c>
      <c r="D12" s="68" t="n">
        <v>13</v>
      </c>
      <c r="E12" s="68" t="n">
        <v>0</v>
      </c>
      <c r="F12" s="68" t="n">
        <v>2</v>
      </c>
      <c r="G12" s="68" t="n">
        <v>96</v>
      </c>
      <c r="H12" s="68" t="n">
        <v>5</v>
      </c>
      <c r="I12" s="68" t="n">
        <v>13.2</v>
      </c>
      <c r="J12" s="68" t="n">
        <v>8</v>
      </c>
      <c r="K12" s="68" t="n">
        <v>179</v>
      </c>
      <c r="L12" s="68" t="n">
        <v>58</v>
      </c>
      <c r="M12" s="68" t="n">
        <v>4</v>
      </c>
      <c r="N12" s="68" t="n">
        <v>30.1</v>
      </c>
      <c r="O12" s="68" t="n">
        <v>0</v>
      </c>
      <c r="P12" s="68" t="n">
        <v>5</v>
      </c>
      <c r="Q12" s="68" t="n">
        <v>3</v>
      </c>
      <c r="R12" s="68" t="n">
        <v>0</v>
      </c>
      <c r="S12" s="68" t="n">
        <v>13</v>
      </c>
      <c r="T12" s="68" t="n">
        <v>16</v>
      </c>
      <c r="U12" s="68" t="n">
        <v>6</v>
      </c>
      <c r="V12" s="68" t="n">
        <v>10</v>
      </c>
      <c r="W12" s="68" t="n">
        <v>0</v>
      </c>
      <c r="X12" s="68" t="n">
        <v>12</v>
      </c>
      <c r="Y12" s="68" t="n">
        <v>31</v>
      </c>
      <c r="Z12" s="68" t="n">
        <v>20</v>
      </c>
      <c r="AA12" s="68" t="n">
        <v>29.4360646058859</v>
      </c>
      <c r="AB12" s="68" t="n">
        <v>9.6</v>
      </c>
      <c r="AC12" s="68" t="n">
        <v>0.430527309121494</v>
      </c>
      <c r="AD12" s="68" t="n">
        <v>36.7851782849454</v>
      </c>
      <c r="AE12" s="68" t="n">
        <v>6</v>
      </c>
      <c r="AF12" s="68" t="n">
        <v>0</v>
      </c>
      <c r="AG12" s="68" t="n">
        <v>25</v>
      </c>
      <c r="AH12" s="68" t="n">
        <v>0.157817078465887</v>
      </c>
      <c r="AI12" s="68" t="n">
        <v>22</v>
      </c>
      <c r="AJ12" s="68" t="n">
        <v>79</v>
      </c>
      <c r="AK12" s="68" t="n">
        <v>51</v>
      </c>
      <c r="AL12" s="68" t="n">
        <v>10</v>
      </c>
      <c r="AM12" s="68" t="n">
        <v>17</v>
      </c>
      <c r="AN12" s="68" t="n">
        <v>3</v>
      </c>
      <c r="AO12" s="68" t="n">
        <v>7</v>
      </c>
      <c r="AP12" s="68" t="n">
        <v>10</v>
      </c>
      <c r="AQ12" s="68" t="n">
        <v>0</v>
      </c>
      <c r="AR12" s="68" t="n">
        <v>1</v>
      </c>
      <c r="AS12" s="68" t="n">
        <v>3</v>
      </c>
      <c r="AT12" s="68" t="n">
        <v>23</v>
      </c>
      <c r="AU12" s="68" t="n">
        <v>5</v>
      </c>
      <c r="AV12" s="68" t="n">
        <v>0</v>
      </c>
      <c r="AW12" s="68" t="n">
        <v>1</v>
      </c>
      <c r="AX12" s="68" t="n">
        <v>52.2817178086564</v>
      </c>
      <c r="AY12" s="68" t="n">
        <v>2.3036173245491</v>
      </c>
      <c r="AZ12" s="68" t="n">
        <v>251080.776287715</v>
      </c>
      <c r="BA12" s="68" t="n">
        <v>94.5</v>
      </c>
      <c r="BB12" s="68" t="n">
        <v>72</v>
      </c>
      <c r="BC12" s="68" t="n">
        <v>9.1468114513542</v>
      </c>
      <c r="BD12" s="68" t="n">
        <v>28.7509990972186</v>
      </c>
      <c r="BE12" s="68" t="n">
        <v>8</v>
      </c>
      <c r="BF12" s="68" t="n">
        <v>709</v>
      </c>
      <c r="BG12" s="68" t="n">
        <v>67</v>
      </c>
      <c r="BH12" s="68" t="n">
        <v>9.08531571472109</v>
      </c>
      <c r="BI12" s="68" t="n">
        <v>709</v>
      </c>
      <c r="BJ12" s="68" t="n">
        <v>11.2083333333333</v>
      </c>
      <c r="BK12" s="68" t="n">
        <v>9.89954400915432</v>
      </c>
      <c r="BL12" s="68" t="n">
        <v>26140</v>
      </c>
      <c r="BM12" s="68" t="n">
        <v>16.0890590948036</v>
      </c>
      <c r="BN12" s="68" t="n">
        <v>37.4</v>
      </c>
      <c r="BO12" s="68" t="n">
        <v>2.5</v>
      </c>
      <c r="BP12" s="68" t="n">
        <v>15</v>
      </c>
      <c r="BQ12" s="68" t="n">
        <v>7</v>
      </c>
      <c r="BR12" s="68" t="n">
        <v>24</v>
      </c>
      <c r="BS12" s="68" t="n">
        <v>25</v>
      </c>
      <c r="BT12" s="68" t="n">
        <v>200377</v>
      </c>
      <c r="BU12" s="68" t="n">
        <v>38524</v>
      </c>
      <c r="BV12" s="68" t="n">
        <v>130713</v>
      </c>
      <c r="BW12" s="68" t="n">
        <v>0</v>
      </c>
      <c r="BX12" s="68" t="n">
        <v>1.6152196288821</v>
      </c>
      <c r="BY12" s="68" t="n">
        <v>236.97</v>
      </c>
      <c r="BZ12" s="68" t="n">
        <v>124956</v>
      </c>
      <c r="CA12" s="68" t="n">
        <v>228921</v>
      </c>
      <c r="CB12" s="68" t="n">
        <v>0</v>
      </c>
      <c r="CC12" s="68" t="n">
        <v>112246</v>
      </c>
      <c r="CD12" s="68" t="n">
        <v>469.74</v>
      </c>
      <c r="CE12" s="68" t="n">
        <v>3</v>
      </c>
    </row>
    <row r="13" customFormat="false" ht="12.75" hidden="false" customHeight="true" outlineLevel="0" collapsed="false">
      <c r="A13" s="68" t="s">
        <v>57</v>
      </c>
      <c r="B13" s="68" t="s">
        <v>58</v>
      </c>
      <c r="C13" s="68" t="n">
        <v>3</v>
      </c>
      <c r="D13" s="68" t="n">
        <v>9</v>
      </c>
      <c r="E13" s="68" t="n">
        <v>0</v>
      </c>
      <c r="F13" s="68" t="n">
        <v>1</v>
      </c>
      <c r="G13" s="68" t="n">
        <v>33</v>
      </c>
      <c r="H13" s="68" t="n">
        <v>8</v>
      </c>
      <c r="I13" s="68" t="n">
        <v>16.2</v>
      </c>
      <c r="J13" s="68" t="n">
        <v>3</v>
      </c>
      <c r="K13" s="68" t="n">
        <v>94</v>
      </c>
      <c r="L13" s="68" t="n">
        <v>12</v>
      </c>
      <c r="M13" s="68" t="n">
        <v>2</v>
      </c>
      <c r="N13" s="68" t="n">
        <v>16.7</v>
      </c>
      <c r="O13" s="68" t="n">
        <v>2</v>
      </c>
      <c r="P13" s="68" t="n">
        <v>1</v>
      </c>
      <c r="Q13" s="68" t="n">
        <v>0</v>
      </c>
      <c r="R13" s="68" t="n">
        <v>1</v>
      </c>
      <c r="S13" s="68" t="n">
        <v>0</v>
      </c>
      <c r="T13" s="68" t="n">
        <v>10</v>
      </c>
      <c r="U13" s="68" t="n">
        <v>5</v>
      </c>
      <c r="V13" s="68" t="n">
        <v>2</v>
      </c>
      <c r="W13" s="68" t="n">
        <v>0</v>
      </c>
      <c r="X13" s="68" t="n">
        <v>10</v>
      </c>
      <c r="Y13" s="68" t="n">
        <v>19</v>
      </c>
      <c r="Z13" s="68" t="n">
        <v>55</v>
      </c>
      <c r="AA13" s="68" t="n">
        <v>46.1092813152826</v>
      </c>
      <c r="AB13" s="68" t="n">
        <v>6.9</v>
      </c>
      <c r="AC13" s="68" t="n">
        <v>0.312223383254081</v>
      </c>
      <c r="AD13" s="68" t="n">
        <v>35.4120136028463</v>
      </c>
      <c r="AE13" s="68" t="n">
        <v>0</v>
      </c>
      <c r="AF13" s="68" t="n">
        <v>0</v>
      </c>
      <c r="AG13" s="68" t="n">
        <v>10</v>
      </c>
      <c r="AH13" s="68" t="n">
        <v>0.137278446694534</v>
      </c>
      <c r="AI13" s="68" t="n">
        <v>2</v>
      </c>
      <c r="AJ13" s="68" t="n">
        <v>31</v>
      </c>
      <c r="AK13" s="68" t="n">
        <v>13</v>
      </c>
      <c r="AL13" s="68" t="n">
        <v>3</v>
      </c>
      <c r="AM13" s="68" t="n">
        <v>14</v>
      </c>
      <c r="AN13" s="68" t="n">
        <v>4</v>
      </c>
      <c r="AO13" s="68" t="n">
        <v>0</v>
      </c>
      <c r="AP13" s="68" t="n">
        <v>1</v>
      </c>
      <c r="AQ13" s="68" t="n">
        <v>0</v>
      </c>
      <c r="AR13" s="68" t="n">
        <v>5</v>
      </c>
      <c r="AS13" s="68" t="n">
        <v>1</v>
      </c>
      <c r="AT13" s="68" t="n">
        <v>0</v>
      </c>
      <c r="AU13" s="68"/>
      <c r="AV13" s="68" t="n">
        <v>0</v>
      </c>
      <c r="AW13" s="68" t="n">
        <v>1</v>
      </c>
      <c r="AX13" s="68" t="n">
        <v>47.2175542639115</v>
      </c>
      <c r="AY13" s="68" t="n">
        <v>0.407261220611687</v>
      </c>
      <c r="AZ13" s="68" t="n">
        <v>268648.112777091</v>
      </c>
      <c r="BA13" s="68" t="n">
        <v>93.6</v>
      </c>
      <c r="BB13" s="68" t="n">
        <v>64.8</v>
      </c>
      <c r="BC13" s="68" t="n">
        <v>9.26061416773293</v>
      </c>
      <c r="BD13" s="68" t="n">
        <v>30.8645439342754</v>
      </c>
      <c r="BE13" s="68" t="n">
        <v>4</v>
      </c>
      <c r="BF13" s="68" t="n">
        <v>444</v>
      </c>
      <c r="BG13" s="68" t="n">
        <v>58</v>
      </c>
      <c r="BH13" s="68" t="n">
        <v>8.69818965420487</v>
      </c>
      <c r="BI13" s="68" t="n">
        <v>868</v>
      </c>
      <c r="BJ13" s="68" t="n">
        <v>17.2820512820513</v>
      </c>
      <c r="BK13" s="68" t="n">
        <v>18.9115478288196</v>
      </c>
      <c r="BL13" s="68" t="n">
        <v>12846</v>
      </c>
      <c r="BM13" s="68" t="n">
        <v>11.8127027239363</v>
      </c>
      <c r="BN13" s="68" t="n">
        <v>37.9</v>
      </c>
      <c r="BO13" s="68" t="n">
        <v>1.7</v>
      </c>
      <c r="BP13" s="68" t="n">
        <v>9</v>
      </c>
      <c r="BQ13" s="68" t="n">
        <v>1</v>
      </c>
      <c r="BR13" s="68" t="n">
        <v>54.1</v>
      </c>
      <c r="BS13" s="68" t="n">
        <v>0</v>
      </c>
      <c r="BT13" s="68" t="n">
        <v>113900</v>
      </c>
      <c r="BU13" s="68" t="n">
        <v>16070</v>
      </c>
      <c r="BV13" s="68" t="n">
        <v>11145</v>
      </c>
      <c r="BW13" s="68" t="n">
        <v>0</v>
      </c>
      <c r="BX13" s="68" t="n">
        <v>2.01859729065422</v>
      </c>
      <c r="BY13" s="68" t="n">
        <v>133.02</v>
      </c>
      <c r="BZ13" s="68" t="n">
        <v>51811</v>
      </c>
      <c r="CA13" s="68" t="n">
        <v>376</v>
      </c>
      <c r="CB13" s="68" t="n">
        <v>7</v>
      </c>
      <c r="CC13" s="68" t="n">
        <v>0</v>
      </c>
      <c r="CD13" s="68" t="n">
        <v>42.67</v>
      </c>
      <c r="CE13" s="68" t="n">
        <v>1</v>
      </c>
    </row>
    <row r="14" customFormat="false" ht="12.75" hidden="false" customHeight="true" outlineLevel="0" collapsed="false">
      <c r="A14" s="68" t="s">
        <v>61</v>
      </c>
      <c r="B14" s="68" t="s">
        <v>62</v>
      </c>
      <c r="C14" s="68" t="n">
        <v>1</v>
      </c>
      <c r="D14" s="68" t="n">
        <v>24</v>
      </c>
      <c r="E14" s="68" t="n">
        <v>1</v>
      </c>
      <c r="F14" s="68" t="n">
        <v>0</v>
      </c>
      <c r="G14" s="68" t="n">
        <v>64</v>
      </c>
      <c r="H14" s="68" t="n">
        <v>11</v>
      </c>
      <c r="I14" s="68" t="n">
        <v>19.8</v>
      </c>
      <c r="J14" s="68" t="n">
        <v>8</v>
      </c>
      <c r="K14" s="68" t="n">
        <v>272</v>
      </c>
      <c r="L14" s="68" t="n">
        <v>31</v>
      </c>
      <c r="M14" s="68" t="n">
        <v>1</v>
      </c>
      <c r="N14" s="68" t="n">
        <v>20.8</v>
      </c>
      <c r="O14" s="68" t="n">
        <v>2</v>
      </c>
      <c r="P14" s="68" t="n">
        <v>0</v>
      </c>
      <c r="Q14" s="68" t="n">
        <v>0</v>
      </c>
      <c r="R14" s="68" t="n">
        <v>0</v>
      </c>
      <c r="S14" s="68" t="n">
        <v>0</v>
      </c>
      <c r="T14" s="68" t="n">
        <v>38</v>
      </c>
      <c r="U14" s="68" t="n">
        <v>3</v>
      </c>
      <c r="V14" s="68" t="n">
        <v>3</v>
      </c>
      <c r="W14" s="68" t="n">
        <v>0</v>
      </c>
      <c r="X14" s="68" t="n">
        <v>57</v>
      </c>
      <c r="Y14" s="68" t="n">
        <v>30</v>
      </c>
      <c r="Z14" s="68" t="n">
        <v>94</v>
      </c>
      <c r="AA14" s="68" t="n">
        <v>56.3221539778855</v>
      </c>
      <c r="AB14" s="68" t="n">
        <v>15.9</v>
      </c>
      <c r="AC14" s="68" t="n">
        <v>0.181162930783336</v>
      </c>
      <c r="AD14" s="68" t="n">
        <v>34.7667700515808</v>
      </c>
      <c r="AE14" s="68" t="n">
        <v>1</v>
      </c>
      <c r="AF14" s="68" t="n">
        <v>0</v>
      </c>
      <c r="AG14" s="68" t="n">
        <v>18</v>
      </c>
      <c r="AH14" s="68" t="n">
        <v>0.00293141329815828</v>
      </c>
      <c r="AI14" s="68" t="n">
        <v>12</v>
      </c>
      <c r="AJ14" s="68" t="n">
        <v>41</v>
      </c>
      <c r="AK14" s="68" t="n">
        <v>17</v>
      </c>
      <c r="AL14" s="68" t="n">
        <v>10</v>
      </c>
      <c r="AM14" s="68" t="n">
        <v>9</v>
      </c>
      <c r="AN14" s="68" t="n">
        <v>10</v>
      </c>
      <c r="AO14" s="68" t="n">
        <v>3</v>
      </c>
      <c r="AP14" s="68" t="n">
        <v>6</v>
      </c>
      <c r="AQ14" s="68" t="n">
        <v>0</v>
      </c>
      <c r="AR14" s="68" t="n">
        <v>31</v>
      </c>
      <c r="AS14" s="68" t="n">
        <v>0</v>
      </c>
      <c r="AT14" s="68" t="n">
        <v>0</v>
      </c>
      <c r="AU14" s="68" t="n">
        <v>7</v>
      </c>
      <c r="AV14" s="68" t="n">
        <v>3</v>
      </c>
      <c r="AW14" s="68" t="n">
        <v>1</v>
      </c>
      <c r="AX14" s="68" t="n">
        <v>54.5547230213341</v>
      </c>
      <c r="AY14" s="68" t="n">
        <v>14.9718008131859</v>
      </c>
      <c r="AZ14" s="68" t="n">
        <v>291430.764263149</v>
      </c>
      <c r="BA14" s="68" t="n">
        <v>92.9</v>
      </c>
      <c r="BB14" s="68" t="n">
        <v>66.7</v>
      </c>
      <c r="BC14" s="68" t="n">
        <v>9.06123845419693</v>
      </c>
      <c r="BD14" s="68" t="n">
        <v>30.6945764078695</v>
      </c>
      <c r="BE14" s="68" t="n">
        <v>10</v>
      </c>
      <c r="BF14" s="68" t="n">
        <v>856</v>
      </c>
      <c r="BG14" s="68" t="n">
        <v>72</v>
      </c>
      <c r="BH14" s="68" t="n">
        <v>20.9281202780929</v>
      </c>
      <c r="BI14" s="68" t="n">
        <v>2672</v>
      </c>
      <c r="BJ14" s="68" t="n">
        <v>14.0836065573771</v>
      </c>
      <c r="BK14" s="68" t="n">
        <v>23.9724641745461</v>
      </c>
      <c r="BL14" s="68" t="n">
        <v>35548</v>
      </c>
      <c r="BM14" s="68" t="n">
        <v>23.8162008764697</v>
      </c>
      <c r="BN14" s="68" t="n">
        <v>31.6</v>
      </c>
      <c r="BO14" s="68" t="n">
        <v>1.8</v>
      </c>
      <c r="BP14" s="68" t="n">
        <v>27</v>
      </c>
      <c r="BQ14" s="68" t="n">
        <v>13</v>
      </c>
      <c r="BR14" s="68" t="n">
        <v>54.1</v>
      </c>
      <c r="BS14" s="68" t="n">
        <v>48</v>
      </c>
      <c r="BT14" s="68" t="n">
        <v>275043</v>
      </c>
      <c r="BU14" s="68" t="n">
        <v>105048</v>
      </c>
      <c r="BV14" s="68" t="n">
        <v>259411</v>
      </c>
      <c r="BW14" s="68" t="n">
        <v>10.9299173698247</v>
      </c>
      <c r="BX14" s="68" t="n">
        <v>1.89279500627146</v>
      </c>
      <c r="BY14" s="68" t="n">
        <v>135.48</v>
      </c>
      <c r="BZ14" s="68" t="n">
        <v>129882</v>
      </c>
      <c r="CA14" s="68" t="n">
        <v>486725</v>
      </c>
      <c r="CB14" s="68" t="n">
        <v>28</v>
      </c>
      <c r="CC14" s="68" t="n">
        <v>192977</v>
      </c>
      <c r="CD14" s="68" t="n">
        <v>660.16</v>
      </c>
      <c r="CE14" s="68" t="n">
        <v>3</v>
      </c>
    </row>
    <row r="15" customFormat="false" ht="12.75" hidden="false" customHeight="true" outlineLevel="0" collapsed="false">
      <c r="A15" s="68" t="s">
        <v>64</v>
      </c>
      <c r="B15" s="68" t="s">
        <v>65</v>
      </c>
      <c r="C15" s="68" t="n">
        <v>0</v>
      </c>
      <c r="D15" s="68" t="n">
        <v>4</v>
      </c>
      <c r="E15" s="68" t="n">
        <v>0</v>
      </c>
      <c r="F15" s="68" t="n">
        <v>2</v>
      </c>
      <c r="G15" s="68" t="n">
        <v>17</v>
      </c>
      <c r="H15" s="68" t="n">
        <v>0</v>
      </c>
      <c r="I15" s="68" t="n">
        <v>14.8</v>
      </c>
      <c r="J15" s="68" t="n">
        <v>0</v>
      </c>
      <c r="K15" s="68" t="n">
        <v>49</v>
      </c>
      <c r="L15" s="68" t="n">
        <v>12</v>
      </c>
      <c r="M15" s="68" t="n">
        <v>0</v>
      </c>
      <c r="N15" s="68" t="n">
        <v>21.8</v>
      </c>
      <c r="O15" s="68" t="n">
        <v>0</v>
      </c>
      <c r="P15" s="68" t="n">
        <v>0</v>
      </c>
      <c r="Q15" s="68" t="n">
        <v>0</v>
      </c>
      <c r="R15" s="68" t="n">
        <v>0</v>
      </c>
      <c r="S15" s="68" t="n">
        <v>0</v>
      </c>
      <c r="T15" s="68" t="n">
        <v>24</v>
      </c>
      <c r="U15" s="68" t="n">
        <v>2</v>
      </c>
      <c r="V15" s="68" t="n">
        <v>0</v>
      </c>
      <c r="W15" s="68" t="n">
        <v>1</v>
      </c>
      <c r="X15" s="68" t="n">
        <v>20</v>
      </c>
      <c r="Y15" s="68" t="n">
        <v>10</v>
      </c>
      <c r="Z15" s="68" t="n">
        <v>0</v>
      </c>
      <c r="AA15" s="68" t="n">
        <v>44.3850742526803</v>
      </c>
      <c r="AB15" s="68" t="n">
        <v>39.4</v>
      </c>
      <c r="AC15" s="68" t="n">
        <v>0.0207708172644049</v>
      </c>
      <c r="AD15" s="68" t="n">
        <v>43.8868972150571</v>
      </c>
      <c r="AE15" s="68" t="n">
        <v>0</v>
      </c>
      <c r="AF15" s="68" t="n">
        <v>0</v>
      </c>
      <c r="AG15" s="68" t="n">
        <v>0</v>
      </c>
      <c r="AH15" s="68" t="n">
        <v>0.00557866552781092</v>
      </c>
      <c r="AI15" s="68" t="n">
        <v>21</v>
      </c>
      <c r="AJ15" s="68" t="n">
        <v>93</v>
      </c>
      <c r="AK15" s="68" t="n">
        <v>25</v>
      </c>
      <c r="AL15" s="68" t="n">
        <v>8</v>
      </c>
      <c r="AM15" s="68" t="n">
        <v>6</v>
      </c>
      <c r="AN15" s="68" t="n">
        <v>5</v>
      </c>
      <c r="AO15" s="68" t="n">
        <v>23</v>
      </c>
      <c r="AP15" s="68" t="n">
        <v>3</v>
      </c>
      <c r="AQ15" s="68" t="n">
        <v>0</v>
      </c>
      <c r="AR15" s="68" t="n">
        <v>8</v>
      </c>
      <c r="AS15" s="68" t="n">
        <v>3</v>
      </c>
      <c r="AT15" s="68" t="n">
        <v>6</v>
      </c>
      <c r="AU15" s="68" t="n">
        <v>6</v>
      </c>
      <c r="AV15" s="68" t="n">
        <v>0</v>
      </c>
      <c r="AW15" s="68" t="n">
        <v>2</v>
      </c>
      <c r="AX15" s="68" t="n">
        <v>61.0157729349779</v>
      </c>
      <c r="AY15" s="68" t="n">
        <v>1.04955379046053</v>
      </c>
      <c r="AZ15" s="68" t="n">
        <v>418043.958707377</v>
      </c>
      <c r="BA15" s="68" t="n">
        <v>95.3</v>
      </c>
      <c r="BB15" s="68" t="n">
        <v>68.5</v>
      </c>
      <c r="BC15" s="68" t="n">
        <v>9.45118841314792</v>
      </c>
      <c r="BD15" s="68" t="n">
        <v>65.5795042189481</v>
      </c>
      <c r="BE15" s="68" t="n">
        <v>3</v>
      </c>
      <c r="BF15" s="68" t="n">
        <v>64</v>
      </c>
      <c r="BG15" s="68" t="n">
        <v>6</v>
      </c>
      <c r="BH15" s="68" t="n">
        <v>67.765487692913</v>
      </c>
      <c r="BI15" s="68" t="n">
        <v>83</v>
      </c>
      <c r="BJ15" s="68" t="n">
        <v>6.82539682539683</v>
      </c>
      <c r="BK15" s="68" t="n">
        <v>37.5989157521969</v>
      </c>
      <c r="BL15" s="68" t="n">
        <v>8020</v>
      </c>
      <c r="BM15" s="68" t="n">
        <v>23.0621256503301</v>
      </c>
      <c r="BN15" s="68" t="n">
        <v>21.7</v>
      </c>
      <c r="BO15" s="68" t="n">
        <v>1.7</v>
      </c>
      <c r="BP15" s="68" t="n">
        <v>0</v>
      </c>
      <c r="BQ15" s="68" t="n">
        <v>1</v>
      </c>
      <c r="BR15" s="68" t="n">
        <v>0</v>
      </c>
      <c r="BS15" s="68" t="n">
        <v>19</v>
      </c>
      <c r="BT15" s="68" t="n">
        <v>28584</v>
      </c>
      <c r="BU15" s="68" t="n">
        <v>10763</v>
      </c>
      <c r="BV15" s="68" t="n">
        <v>90876</v>
      </c>
      <c r="BW15" s="68" t="n">
        <v>0</v>
      </c>
      <c r="BX15" s="68" t="n">
        <v>4.08866348970402</v>
      </c>
      <c r="BY15" s="68" t="n">
        <v>3.7</v>
      </c>
      <c r="BZ15" s="68" t="n">
        <v>19348</v>
      </c>
      <c r="CA15" s="68" t="n">
        <v>32030</v>
      </c>
      <c r="CB15" s="68" t="n">
        <v>0</v>
      </c>
      <c r="CC15" s="68" t="n">
        <v>56201</v>
      </c>
      <c r="CD15" s="68" t="n">
        <v>5.25</v>
      </c>
      <c r="CE15" s="68" t="n">
        <v>4</v>
      </c>
    </row>
    <row r="16" customFormat="false" ht="12.75" hidden="false" customHeight="true" outlineLevel="0" collapsed="false">
      <c r="A16" s="68" t="s">
        <v>67</v>
      </c>
      <c r="B16" s="68" t="s">
        <v>68</v>
      </c>
      <c r="C16" s="68" t="n">
        <v>0</v>
      </c>
      <c r="D16" s="68" t="n">
        <v>3</v>
      </c>
      <c r="E16" s="68" t="n">
        <v>0</v>
      </c>
      <c r="F16" s="68" t="n">
        <v>2</v>
      </c>
      <c r="G16" s="68" t="n">
        <v>45</v>
      </c>
      <c r="H16" s="68" t="n">
        <v>6</v>
      </c>
      <c r="I16" s="68" t="n">
        <v>27.7</v>
      </c>
      <c r="J16" s="68" t="n">
        <v>2</v>
      </c>
      <c r="K16" s="68" t="n">
        <v>4</v>
      </c>
      <c r="L16" s="68" t="n">
        <v>14</v>
      </c>
      <c r="M16" s="68" t="n">
        <v>0</v>
      </c>
      <c r="N16" s="68" t="n">
        <v>22.7</v>
      </c>
      <c r="O16" s="68" t="n">
        <v>3</v>
      </c>
      <c r="P16" s="68" t="n">
        <v>0</v>
      </c>
      <c r="Q16" s="68" t="n">
        <v>0</v>
      </c>
      <c r="R16" s="68" t="n">
        <v>0</v>
      </c>
      <c r="S16" s="68" t="n">
        <v>2</v>
      </c>
      <c r="T16" s="68" t="n">
        <v>16</v>
      </c>
      <c r="U16" s="68" t="n">
        <v>16</v>
      </c>
      <c r="V16" s="68" t="n">
        <v>0</v>
      </c>
      <c r="W16" s="68" t="n">
        <v>2</v>
      </c>
      <c r="X16" s="68" t="n">
        <v>24</v>
      </c>
      <c r="Y16" s="68" t="n">
        <v>11</v>
      </c>
      <c r="Z16" s="68" t="n">
        <v>34</v>
      </c>
      <c r="AA16" s="68" t="n">
        <v>20.1947976848027</v>
      </c>
      <c r="AB16" s="68" t="n">
        <v>57.3</v>
      </c>
      <c r="AC16" s="68" t="n">
        <v>0.0354065756017893</v>
      </c>
      <c r="AD16" s="68" t="n">
        <v>40.575232386989</v>
      </c>
      <c r="AE16" s="68" t="n">
        <v>3</v>
      </c>
      <c r="AF16" s="68" t="n">
        <v>0</v>
      </c>
      <c r="AG16" s="68" t="n">
        <v>0</v>
      </c>
      <c r="AH16" s="68" t="n">
        <v>0.00740825306041477</v>
      </c>
      <c r="AI16" s="68" t="n">
        <v>19</v>
      </c>
      <c r="AJ16" s="68" t="n">
        <v>62</v>
      </c>
      <c r="AK16" s="68" t="n">
        <v>23</v>
      </c>
      <c r="AL16" s="68" t="n">
        <v>10</v>
      </c>
      <c r="AM16" s="68" t="n">
        <v>0</v>
      </c>
      <c r="AN16" s="68" t="n">
        <v>17</v>
      </c>
      <c r="AO16" s="68" t="n">
        <v>20</v>
      </c>
      <c r="AP16" s="68" t="n">
        <v>10</v>
      </c>
      <c r="AQ16" s="68" t="n">
        <v>0</v>
      </c>
      <c r="AR16" s="68" t="n">
        <v>0</v>
      </c>
      <c r="AS16" s="68" t="n">
        <v>1</v>
      </c>
      <c r="AT16" s="68" t="n">
        <v>1</v>
      </c>
      <c r="AU16" s="68" t="n">
        <v>5</v>
      </c>
      <c r="AV16" s="68" t="n">
        <v>1</v>
      </c>
      <c r="AW16" s="68" t="n">
        <v>1</v>
      </c>
      <c r="AX16" s="68" t="n">
        <v>51.8719552859852</v>
      </c>
      <c r="AY16" s="68" t="n">
        <v>0.0562431273752575</v>
      </c>
      <c r="AZ16" s="68" t="n">
        <v>572203.338028761</v>
      </c>
      <c r="BA16" s="68" t="n">
        <v>93.6</v>
      </c>
      <c r="BB16" s="68" t="n">
        <v>77.6</v>
      </c>
      <c r="BC16" s="68" t="n">
        <v>10.1890777449119</v>
      </c>
      <c r="BD16" s="68" t="n">
        <v>59.6714094386909</v>
      </c>
      <c r="BE16" s="68" t="n">
        <v>6</v>
      </c>
      <c r="BF16" s="68" t="n">
        <v>380</v>
      </c>
      <c r="BG16" s="68" t="n">
        <v>55</v>
      </c>
      <c r="BH16" s="68" t="n">
        <v>137.244241708989</v>
      </c>
      <c r="BI16" s="68" t="n">
        <v>222</v>
      </c>
      <c r="BJ16" s="68" t="n">
        <v>12.9421487603306</v>
      </c>
      <c r="BK16" s="68" t="n">
        <v>41.5313009693289</v>
      </c>
      <c r="BL16" s="68" t="n">
        <v>12436</v>
      </c>
      <c r="BM16" s="68" t="n">
        <v>67.7602004959357</v>
      </c>
      <c r="BN16" s="68" t="n">
        <v>37.1</v>
      </c>
      <c r="BO16" s="68" t="n">
        <v>2</v>
      </c>
      <c r="BP16" s="68" t="n">
        <v>5</v>
      </c>
      <c r="BQ16" s="68" t="n">
        <v>3</v>
      </c>
      <c r="BR16" s="68" t="n">
        <v>0</v>
      </c>
      <c r="BS16" s="68" t="n">
        <v>12</v>
      </c>
      <c r="BT16" s="68" t="n">
        <v>84034</v>
      </c>
      <c r="BU16" s="68" t="n">
        <v>109092</v>
      </c>
      <c r="BV16" s="68" t="n">
        <v>262190</v>
      </c>
      <c r="BW16" s="68" t="n">
        <v>0.164984239880485</v>
      </c>
      <c r="BX16" s="68" t="n">
        <v>3.63219869253312</v>
      </c>
      <c r="BY16" s="68" t="n">
        <v>6.02</v>
      </c>
      <c r="BZ16" s="68" t="n">
        <v>46336</v>
      </c>
      <c r="CA16" s="68" t="n">
        <v>283629</v>
      </c>
      <c r="CB16" s="68" t="n">
        <v>18</v>
      </c>
      <c r="CC16" s="68" t="n">
        <v>388598</v>
      </c>
      <c r="CD16" s="68" t="n">
        <v>0</v>
      </c>
      <c r="CE16" s="68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52" min="3" style="1" width="14"/>
  </cols>
  <sheetData>
    <row r="1" customFormat="false" ht="33.75" hidden="false" customHeight="true" outlineLevel="0" collapsed="false">
      <c r="A1" s="5" t="s">
        <v>575</v>
      </c>
      <c r="B1" s="5" t="s">
        <v>576</v>
      </c>
      <c r="C1" s="5" t="s">
        <v>658</v>
      </c>
      <c r="D1" s="5" t="s">
        <v>659</v>
      </c>
      <c r="E1" s="5" t="s">
        <v>660</v>
      </c>
      <c r="F1" s="5" t="s">
        <v>661</v>
      </c>
      <c r="G1" s="5" t="s">
        <v>662</v>
      </c>
      <c r="H1" s="5" t="s">
        <v>663</v>
      </c>
      <c r="I1" s="5" t="s">
        <v>664</v>
      </c>
      <c r="J1" s="5" t="s">
        <v>665</v>
      </c>
      <c r="K1" s="5" t="s">
        <v>666</v>
      </c>
      <c r="L1" s="5" t="s">
        <v>667</v>
      </c>
      <c r="M1" s="5" t="s">
        <v>668</v>
      </c>
      <c r="N1" s="5" t="s">
        <v>669</v>
      </c>
      <c r="O1" s="5" t="s">
        <v>670</v>
      </c>
      <c r="P1" s="5" t="s">
        <v>671</v>
      </c>
      <c r="Q1" s="5" t="s">
        <v>672</v>
      </c>
      <c r="R1" s="5" t="s">
        <v>673</v>
      </c>
      <c r="S1" s="5" t="s">
        <v>674</v>
      </c>
      <c r="T1" s="5" t="s">
        <v>675</v>
      </c>
      <c r="U1" s="5" t="s">
        <v>676</v>
      </c>
      <c r="V1" s="5" t="s">
        <v>677</v>
      </c>
      <c r="W1" s="5" t="s">
        <v>678</v>
      </c>
      <c r="X1" s="5" t="s">
        <v>679</v>
      </c>
      <c r="Y1" s="5" t="s">
        <v>680</v>
      </c>
      <c r="Z1" s="5" t="s">
        <v>681</v>
      </c>
      <c r="AA1" s="5" t="s">
        <v>682</v>
      </c>
      <c r="AB1" s="5" t="s">
        <v>683</v>
      </c>
      <c r="AC1" s="5" t="s">
        <v>684</v>
      </c>
      <c r="AD1" s="5" t="s">
        <v>685</v>
      </c>
      <c r="AE1" s="5" t="s">
        <v>686</v>
      </c>
      <c r="AF1" s="5" t="s">
        <v>687</v>
      </c>
      <c r="AG1" s="5" t="s">
        <v>688</v>
      </c>
      <c r="AH1" s="5" t="s">
        <v>689</v>
      </c>
      <c r="AI1" s="5" t="s">
        <v>690</v>
      </c>
      <c r="AJ1" s="5" t="s">
        <v>691</v>
      </c>
      <c r="AK1" s="5" t="s">
        <v>692</v>
      </c>
      <c r="AL1" s="5" t="s">
        <v>693</v>
      </c>
      <c r="AM1" s="5" t="s">
        <v>694</v>
      </c>
      <c r="AN1" s="5" t="s">
        <v>695</v>
      </c>
      <c r="AO1" s="5" t="s">
        <v>696</v>
      </c>
      <c r="AP1" s="5" t="s">
        <v>697</v>
      </c>
      <c r="AQ1" s="5" t="s">
        <v>698</v>
      </c>
      <c r="AR1" s="5" t="s">
        <v>699</v>
      </c>
      <c r="AS1" s="5" t="s">
        <v>700</v>
      </c>
      <c r="AT1" s="5" t="s">
        <v>701</v>
      </c>
      <c r="AU1" s="5" t="s">
        <v>702</v>
      </c>
      <c r="AV1" s="5" t="s">
        <v>703</v>
      </c>
      <c r="AW1" s="5" t="s">
        <v>704</v>
      </c>
      <c r="AX1" s="5" t="s">
        <v>705</v>
      </c>
      <c r="AY1" s="5" t="s">
        <v>706</v>
      </c>
      <c r="AZ1" s="5" t="s">
        <v>707</v>
      </c>
    </row>
    <row r="2" customFormat="false" ht="12.75" hidden="false" customHeight="true" outlineLevel="0" collapsed="false">
      <c r="A2" s="68" t="s">
        <v>16</v>
      </c>
      <c r="B2" s="68" t="s">
        <v>17</v>
      </c>
      <c r="C2" s="68" t="n">
        <v>35.8566577376558</v>
      </c>
      <c r="D2" s="68" t="n">
        <v>19.5629706186328</v>
      </c>
      <c r="E2" s="68" t="n">
        <v>12</v>
      </c>
      <c r="F2" s="68" t="n">
        <v>21.6194554006454</v>
      </c>
      <c r="G2" s="68" t="n">
        <v>43.7662145915505</v>
      </c>
      <c r="H2" s="68" t="n">
        <v>0</v>
      </c>
      <c r="I2" s="68" t="n">
        <v>5.27303790259644</v>
      </c>
      <c r="J2" s="68" t="n">
        <v>1</v>
      </c>
      <c r="K2" s="68" t="n">
        <v>20</v>
      </c>
      <c r="L2" s="68" t="n">
        <v>20.0375440298665</v>
      </c>
      <c r="M2" s="68" t="n">
        <v>5</v>
      </c>
      <c r="N2" s="68" t="n">
        <v>0</v>
      </c>
      <c r="O2" s="68" t="n">
        <v>0</v>
      </c>
      <c r="P2" s="68" t="n">
        <v>0</v>
      </c>
      <c r="Q2" s="68" t="n">
        <v>240.55</v>
      </c>
      <c r="R2" s="68" t="n">
        <v>17</v>
      </c>
      <c r="S2" s="68" t="n">
        <v>6</v>
      </c>
      <c r="T2" s="68" t="n">
        <v>0</v>
      </c>
      <c r="U2" s="68" t="n">
        <v>0.318</v>
      </c>
      <c r="V2" s="68" t="n">
        <v>0.26</v>
      </c>
      <c r="W2" s="68" t="n">
        <v>42.1843032207716</v>
      </c>
      <c r="X2" s="68" t="n">
        <v>15.8191137077893</v>
      </c>
      <c r="Y2" s="68" t="n">
        <v>0.513</v>
      </c>
      <c r="Z2" s="68" t="n">
        <v>11884613</v>
      </c>
      <c r="AA2" s="68" t="n">
        <v>0.426</v>
      </c>
      <c r="AB2" s="68" t="n">
        <v>26467</v>
      </c>
      <c r="AC2" s="68" t="n">
        <v>2387</v>
      </c>
      <c r="AD2" s="68" t="n">
        <v>981</v>
      </c>
      <c r="AE2" s="68" t="n">
        <v>319</v>
      </c>
      <c r="AF2" s="68" t="n">
        <v>265</v>
      </c>
      <c r="AG2" s="68" t="n">
        <v>7.3</v>
      </c>
      <c r="AH2" s="68" t="n">
        <v>8.2</v>
      </c>
      <c r="AI2" s="68" t="n">
        <v>84.3686064415431</v>
      </c>
      <c r="AJ2" s="68" t="n">
        <v>1</v>
      </c>
      <c r="AK2" s="68" t="n">
        <v>11</v>
      </c>
      <c r="AL2" s="68" t="n">
        <v>253</v>
      </c>
      <c r="AM2" s="68" t="n">
        <v>94.914682246736</v>
      </c>
      <c r="AN2" s="68" t="n">
        <v>45560</v>
      </c>
      <c r="AO2" s="68" t="n">
        <v>137</v>
      </c>
      <c r="AP2" s="68" t="n">
        <v>5.27303790259644</v>
      </c>
      <c r="AQ2" s="68" t="n">
        <v>6517</v>
      </c>
      <c r="AR2" s="68" t="n">
        <v>1060490</v>
      </c>
      <c r="AS2" s="68" t="n">
        <v>193364</v>
      </c>
      <c r="AT2" s="68" t="n">
        <v>118413</v>
      </c>
      <c r="AU2" s="68" t="n">
        <v>92641</v>
      </c>
      <c r="AV2" s="68" t="n">
        <v>36370835</v>
      </c>
      <c r="AW2" s="68" t="n">
        <v>11757543</v>
      </c>
      <c r="AX2" s="68" t="n">
        <v>446922</v>
      </c>
      <c r="AY2" s="68" t="n">
        <v>24729573</v>
      </c>
      <c r="AZ2" s="68" t="n">
        <v>1</v>
      </c>
    </row>
    <row r="3" customFormat="false" ht="12.75" hidden="false" customHeight="true" outlineLevel="0" collapsed="false">
      <c r="A3" s="68" t="s">
        <v>22</v>
      </c>
      <c r="B3" s="68" t="s">
        <v>23</v>
      </c>
      <c r="C3" s="68" t="n">
        <v>25.9468508056079</v>
      </c>
      <c r="D3" s="68" t="n">
        <v>26.61644695543</v>
      </c>
      <c r="E3" s="68" t="n">
        <v>2</v>
      </c>
      <c r="F3" s="68" t="n">
        <v>18.9579409918393</v>
      </c>
      <c r="G3" s="68" t="n">
        <v>60.2636534839925</v>
      </c>
      <c r="H3" s="68" t="n">
        <v>0</v>
      </c>
      <c r="I3" s="68" t="n">
        <v>4.18497593638837</v>
      </c>
      <c r="J3" s="68" t="n">
        <v>3</v>
      </c>
      <c r="K3" s="68" t="n">
        <v>9</v>
      </c>
      <c r="L3" s="68" t="n">
        <v>22.1803724628583</v>
      </c>
      <c r="M3" s="68" t="n">
        <v>5</v>
      </c>
      <c r="N3" s="68" t="n">
        <v>40.1339192299644</v>
      </c>
      <c r="O3" s="68" t="n">
        <v>0</v>
      </c>
      <c r="P3" s="68" t="n">
        <v>2</v>
      </c>
      <c r="Q3" s="68" t="n">
        <v>213.07</v>
      </c>
      <c r="R3" s="68" t="n">
        <v>28</v>
      </c>
      <c r="S3" s="68" t="n">
        <v>0</v>
      </c>
      <c r="T3" s="68" t="n">
        <v>0</v>
      </c>
      <c r="U3" s="68" t="n">
        <v>0.421</v>
      </c>
      <c r="V3" s="68" t="n">
        <v>0.468</v>
      </c>
      <c r="W3" s="68" t="n">
        <v>87.8844946641557</v>
      </c>
      <c r="X3" s="68" t="n">
        <v>0</v>
      </c>
      <c r="Y3" s="68" t="n">
        <v>0.516</v>
      </c>
      <c r="Z3" s="68" t="n">
        <v>14740693</v>
      </c>
      <c r="AA3" s="68" t="n">
        <v>0.398</v>
      </c>
      <c r="AB3" s="68" t="n">
        <v>76896</v>
      </c>
      <c r="AC3" s="68" t="n">
        <v>1862</v>
      </c>
      <c r="AD3" s="68" t="n">
        <v>1105</v>
      </c>
      <c r="AE3" s="68" t="n">
        <v>593</v>
      </c>
      <c r="AF3" s="68" t="n">
        <v>592</v>
      </c>
      <c r="AG3" s="68" t="n">
        <v>4.8</v>
      </c>
      <c r="AH3" s="68" t="n">
        <v>13.4</v>
      </c>
      <c r="AI3" s="68" t="n">
        <v>485.45720862105</v>
      </c>
      <c r="AJ3" s="68" t="n">
        <v>6</v>
      </c>
      <c r="AK3" s="68" t="n">
        <v>14.9</v>
      </c>
      <c r="AL3" s="68" t="n">
        <v>59745</v>
      </c>
      <c r="AM3" s="68" t="n">
        <v>138.104205900816</v>
      </c>
      <c r="AN3" s="68" t="n">
        <v>83265</v>
      </c>
      <c r="AO3" s="68" t="n">
        <v>3236</v>
      </c>
      <c r="AP3" s="68" t="n">
        <v>4.18497593638837</v>
      </c>
      <c r="AQ3" s="68" t="n">
        <v>7600</v>
      </c>
      <c r="AR3" s="68" t="n">
        <v>1750481</v>
      </c>
      <c r="AS3" s="68" t="n">
        <v>74404</v>
      </c>
      <c r="AT3" s="68" t="n">
        <v>13600</v>
      </c>
      <c r="AU3" s="68" t="n">
        <v>0</v>
      </c>
      <c r="AV3" s="68" t="n">
        <v>42364100</v>
      </c>
      <c r="AW3" s="68" t="n">
        <v>12796789</v>
      </c>
      <c r="AX3" s="68" t="n">
        <v>355208</v>
      </c>
      <c r="AY3" s="68" t="n">
        <v>29714382</v>
      </c>
      <c r="AZ3" s="68" t="n">
        <v>2</v>
      </c>
    </row>
    <row r="4" customFormat="false" ht="12.75" hidden="false" customHeight="true" outlineLevel="0" collapsed="false">
      <c r="A4" s="68" t="s">
        <v>27</v>
      </c>
      <c r="B4" s="68" t="s">
        <v>28</v>
      </c>
      <c r="C4" s="68" t="n">
        <v>37.248169981214</v>
      </c>
      <c r="D4" s="68" t="n">
        <v>35.4464921940792</v>
      </c>
      <c r="E4" s="68" t="n">
        <v>22</v>
      </c>
      <c r="F4" s="68" t="n">
        <v>29.9604845501069</v>
      </c>
      <c r="G4" s="68" t="n">
        <v>69.2330115955173</v>
      </c>
      <c r="H4" s="68" t="n">
        <v>3</v>
      </c>
      <c r="I4" s="68" t="n">
        <v>4.04871412839282</v>
      </c>
      <c r="J4" s="68" t="n">
        <v>3</v>
      </c>
      <c r="K4" s="68" t="n">
        <v>36</v>
      </c>
      <c r="L4" s="68" t="n">
        <v>20.4460063483838</v>
      </c>
      <c r="M4" s="68" t="n">
        <v>2</v>
      </c>
      <c r="N4" s="68" t="n">
        <v>14.2919608732267</v>
      </c>
      <c r="O4" s="68" t="n">
        <v>0</v>
      </c>
      <c r="P4" s="68" t="n">
        <v>3</v>
      </c>
      <c r="Q4" s="68" t="n">
        <v>259.23</v>
      </c>
      <c r="R4" s="68" t="n">
        <v>39</v>
      </c>
      <c r="S4" s="68" t="n">
        <v>2</v>
      </c>
      <c r="T4" s="68" t="n">
        <v>0</v>
      </c>
      <c r="U4" s="68" t="n">
        <v>0.546</v>
      </c>
      <c r="V4" s="68" t="n">
        <v>0.314</v>
      </c>
      <c r="W4" s="68" t="n">
        <v>109.315281466606</v>
      </c>
      <c r="X4" s="68" t="n">
        <v>0</v>
      </c>
      <c r="Y4" s="68" t="n">
        <v>0.381</v>
      </c>
      <c r="Z4" s="68" t="n">
        <v>22383612</v>
      </c>
      <c r="AA4" s="68" t="n">
        <v>0.495</v>
      </c>
      <c r="AB4" s="68" t="n">
        <v>123017</v>
      </c>
      <c r="AC4" s="68" t="n">
        <v>4228</v>
      </c>
      <c r="AD4" s="68" t="n">
        <v>2324</v>
      </c>
      <c r="AE4" s="68" t="n">
        <v>7</v>
      </c>
      <c r="AF4" s="68" t="n">
        <v>765</v>
      </c>
      <c r="AG4" s="68" t="n">
        <v>6.2</v>
      </c>
      <c r="AH4" s="68" t="n">
        <v>7.3</v>
      </c>
      <c r="AI4" s="68" t="n">
        <v>12.1461423851785</v>
      </c>
      <c r="AJ4" s="68" t="n">
        <v>13</v>
      </c>
      <c r="AK4" s="68" t="n">
        <v>9.6</v>
      </c>
      <c r="AL4" s="68" t="n">
        <v>30220</v>
      </c>
      <c r="AM4" s="68" t="n">
        <v>178.143421649284</v>
      </c>
      <c r="AN4" s="68" t="n">
        <v>238010</v>
      </c>
      <c r="AO4" s="68" t="n">
        <v>16666</v>
      </c>
      <c r="AP4" s="68" t="n">
        <v>4.04871412839282</v>
      </c>
      <c r="AQ4" s="68" t="n">
        <v>16280</v>
      </c>
      <c r="AR4" s="68" t="n">
        <v>2846340</v>
      </c>
      <c r="AS4" s="68" t="n">
        <v>200000</v>
      </c>
      <c r="AT4" s="68" t="n">
        <v>149000</v>
      </c>
      <c r="AU4" s="68" t="n">
        <v>149744</v>
      </c>
      <c r="AV4" s="68" t="n">
        <v>38262875</v>
      </c>
      <c r="AW4" s="68" t="n">
        <v>29066423</v>
      </c>
      <c r="AX4" s="68" t="n">
        <v>192572</v>
      </c>
      <c r="AY4" s="68" t="n">
        <v>50841622</v>
      </c>
      <c r="AZ4" s="68" t="n">
        <v>1</v>
      </c>
    </row>
    <row r="5" customFormat="false" ht="12.75" hidden="false" customHeight="true" outlineLevel="0" collapsed="false">
      <c r="A5" s="68" t="s">
        <v>31</v>
      </c>
      <c r="B5" s="68" t="s">
        <v>32</v>
      </c>
      <c r="C5" s="68" t="n">
        <v>44.8225968797182</v>
      </c>
      <c r="D5" s="68" t="n">
        <v>26.9328761952693</v>
      </c>
      <c r="E5" s="68" t="n">
        <v>19</v>
      </c>
      <c r="F5" s="68" t="n">
        <v>25.4781077000503</v>
      </c>
      <c r="G5" s="68" t="n">
        <v>56.2248364368395</v>
      </c>
      <c r="H5" s="68" t="n">
        <v>1</v>
      </c>
      <c r="I5" s="68" t="n">
        <v>3.93180674383493</v>
      </c>
      <c r="J5" s="68" t="n">
        <v>1</v>
      </c>
      <c r="K5" s="68" t="n">
        <v>9</v>
      </c>
      <c r="L5" s="68" t="n">
        <v>18.4794916960242</v>
      </c>
      <c r="M5" s="68" t="n">
        <v>3</v>
      </c>
      <c r="N5" s="68" t="n">
        <v>32.4374056366382</v>
      </c>
      <c r="O5" s="68" t="n">
        <v>0</v>
      </c>
      <c r="P5" s="68" t="n">
        <v>0</v>
      </c>
      <c r="Q5" s="68" t="n">
        <v>184.01</v>
      </c>
      <c r="R5" s="68" t="n">
        <v>35</v>
      </c>
      <c r="S5" s="68" t="n">
        <v>1</v>
      </c>
      <c r="T5" s="68" t="n">
        <v>0</v>
      </c>
      <c r="U5" s="68" t="n">
        <v>0.39</v>
      </c>
      <c r="V5" s="68" t="n">
        <v>0.197</v>
      </c>
      <c r="W5" s="68" t="n">
        <v>66.8407146451938</v>
      </c>
      <c r="X5" s="68" t="n">
        <v>0</v>
      </c>
      <c r="Y5" s="68" t="n">
        <v>0.488</v>
      </c>
      <c r="Z5" s="68" t="n">
        <v>17068077</v>
      </c>
      <c r="AA5" s="68" t="n">
        <v>0.533</v>
      </c>
      <c r="AB5" s="68" t="n">
        <v>21705</v>
      </c>
      <c r="AC5" s="68" t="n">
        <v>3125</v>
      </c>
      <c r="AD5" s="68" t="n">
        <v>965</v>
      </c>
      <c r="AE5" s="68" t="n">
        <v>14</v>
      </c>
      <c r="AF5" s="68" t="n">
        <v>504</v>
      </c>
      <c r="AG5" s="68" t="n">
        <v>6.4</v>
      </c>
      <c r="AH5" s="68" t="n">
        <v>10.2</v>
      </c>
      <c r="AI5" s="68" t="n">
        <v>15.7272269753397</v>
      </c>
      <c r="AJ5" s="68" t="n">
        <v>3</v>
      </c>
      <c r="AK5" s="68" t="n">
        <v>29.3</v>
      </c>
      <c r="AL5" s="68" t="n">
        <v>17860</v>
      </c>
      <c r="AM5" s="68" t="n">
        <v>145.476849521892</v>
      </c>
      <c r="AN5" s="68" t="n">
        <v>53046</v>
      </c>
      <c r="AO5" s="68" t="n">
        <v>3456</v>
      </c>
      <c r="AP5" s="68" t="n">
        <v>3.93180674383493</v>
      </c>
      <c r="AQ5" s="68" t="n">
        <v>11614</v>
      </c>
      <c r="AR5" s="68" t="n">
        <v>556668</v>
      </c>
      <c r="AS5" s="68" t="n">
        <v>94100</v>
      </c>
      <c r="AT5" s="68" t="n">
        <v>187035</v>
      </c>
      <c r="AU5" s="68" t="n">
        <v>0</v>
      </c>
      <c r="AV5" s="68" t="n">
        <v>35948639</v>
      </c>
      <c r="AW5" s="68" t="n">
        <v>16986593</v>
      </c>
      <c r="AX5" s="68" t="n">
        <v>233225</v>
      </c>
      <c r="AY5" s="68" t="n">
        <v>30224699</v>
      </c>
      <c r="AZ5" s="68" t="n">
        <v>2</v>
      </c>
    </row>
    <row r="6" customFormat="false" ht="12.75" hidden="false" customHeight="true" outlineLevel="0" collapsed="false">
      <c r="A6" s="68" t="s">
        <v>35</v>
      </c>
      <c r="B6" s="68" t="s">
        <v>36</v>
      </c>
      <c r="C6" s="68" t="n">
        <v>37.6320021219807</v>
      </c>
      <c r="D6" s="68" t="n">
        <v>25.1653652956682</v>
      </c>
      <c r="E6" s="68" t="n">
        <v>9</v>
      </c>
      <c r="F6" s="68" t="n">
        <v>17.8047446163028</v>
      </c>
      <c r="G6" s="68" t="n">
        <v>47.7445665688566</v>
      </c>
      <c r="H6" s="68" t="n">
        <v>3</v>
      </c>
      <c r="I6" s="68" t="n">
        <v>3.31559490061504</v>
      </c>
      <c r="J6" s="68" t="n">
        <v>3</v>
      </c>
      <c r="K6" s="68" t="n">
        <v>13</v>
      </c>
      <c r="L6" s="68" t="n">
        <v>6.96274929129159</v>
      </c>
      <c r="M6" s="68" t="n">
        <v>3</v>
      </c>
      <c r="N6" s="68" t="n">
        <v>14.0912783276139</v>
      </c>
      <c r="O6" s="68" t="n">
        <v>0</v>
      </c>
      <c r="P6" s="68" t="n">
        <v>1</v>
      </c>
      <c r="Q6" s="68" t="n">
        <v>150.06</v>
      </c>
      <c r="R6" s="68" t="n">
        <v>72</v>
      </c>
      <c r="S6" s="68" t="n">
        <v>3</v>
      </c>
      <c r="T6" s="68" t="n">
        <v>0</v>
      </c>
      <c r="U6" s="68" t="n">
        <v>0.288</v>
      </c>
      <c r="V6" s="68" t="n">
        <v>0.218</v>
      </c>
      <c r="W6" s="68" t="n">
        <v>155.832960328907</v>
      </c>
      <c r="X6" s="68" t="n">
        <v>0</v>
      </c>
      <c r="Y6" s="68" t="n">
        <v>0.396</v>
      </c>
      <c r="Z6" s="68" t="n">
        <v>20225710</v>
      </c>
      <c r="AA6" s="68" t="n">
        <v>0.449</v>
      </c>
      <c r="AB6" s="68" t="n">
        <v>69974</v>
      </c>
      <c r="AC6" s="68" t="n">
        <v>4203</v>
      </c>
      <c r="AD6" s="68" t="n">
        <v>1831</v>
      </c>
      <c r="AE6" s="68" t="n">
        <v>100</v>
      </c>
      <c r="AF6" s="68" t="n">
        <v>1082</v>
      </c>
      <c r="AG6" s="68" t="n">
        <v>6</v>
      </c>
      <c r="AH6" s="68" t="n">
        <v>12.3</v>
      </c>
      <c r="AI6" s="68" t="n">
        <v>11.6045821521527</v>
      </c>
      <c r="AJ6" s="68" t="n">
        <v>3</v>
      </c>
      <c r="AK6" s="68" t="n">
        <v>29</v>
      </c>
      <c r="AL6" s="68" t="n">
        <v>1431</v>
      </c>
      <c r="AM6" s="68" t="n">
        <v>112.730226620912</v>
      </c>
      <c r="AN6" s="68" t="n">
        <v>275447</v>
      </c>
      <c r="AO6" s="68" t="n">
        <v>2229</v>
      </c>
      <c r="AP6" s="68" t="n">
        <v>1.65779745030752</v>
      </c>
      <c r="AQ6" s="68" t="n">
        <v>11056</v>
      </c>
      <c r="AR6" s="68" t="n">
        <v>5364222</v>
      </c>
      <c r="AS6" s="68" t="n">
        <v>189900</v>
      </c>
      <c r="AT6" s="68" t="n">
        <v>72917</v>
      </c>
      <c r="AU6" s="68" t="n">
        <v>0</v>
      </c>
      <c r="AV6" s="68" t="n">
        <v>64917630</v>
      </c>
      <c r="AW6" s="68" t="n">
        <v>33222779</v>
      </c>
      <c r="AX6" s="68" t="n">
        <v>673800</v>
      </c>
      <c r="AY6" s="68" t="n">
        <v>44790979</v>
      </c>
      <c r="AZ6" s="68" t="n">
        <v>3</v>
      </c>
    </row>
    <row r="7" customFormat="false" ht="12.75" hidden="false" customHeight="true" outlineLevel="0" collapsed="false">
      <c r="A7" s="68" t="s">
        <v>39</v>
      </c>
      <c r="B7" s="68" t="s">
        <v>40</v>
      </c>
      <c r="C7" s="68" t="n">
        <v>52.4076339804085</v>
      </c>
      <c r="D7" s="68" t="n">
        <v>47.049976231482</v>
      </c>
      <c r="E7" s="68" t="n">
        <v>16</v>
      </c>
      <c r="F7" s="68" t="n">
        <v>27.7559142047418</v>
      </c>
      <c r="G7" s="68" t="n">
        <v>55.849523200931</v>
      </c>
      <c r="H7" s="68" t="n">
        <v>9</v>
      </c>
      <c r="I7" s="68" t="n">
        <v>1.94823918142783</v>
      </c>
      <c r="J7" s="68" t="n">
        <v>12</v>
      </c>
      <c r="K7" s="68" t="n">
        <v>44</v>
      </c>
      <c r="L7" s="68" t="n">
        <v>12.2089655369477</v>
      </c>
      <c r="M7" s="68" t="n">
        <v>3</v>
      </c>
      <c r="N7" s="68" t="n">
        <v>18.7095902723119</v>
      </c>
      <c r="O7" s="68" t="n">
        <v>2</v>
      </c>
      <c r="P7" s="68" t="n">
        <v>8</v>
      </c>
      <c r="Q7" s="68" t="n">
        <v>230.65</v>
      </c>
      <c r="R7" s="68" t="n">
        <v>179</v>
      </c>
      <c r="S7" s="68" t="n">
        <v>3</v>
      </c>
      <c r="T7" s="68" t="n">
        <v>5</v>
      </c>
      <c r="U7" s="68" t="n">
        <v>0.311</v>
      </c>
      <c r="V7" s="68" t="n">
        <v>0.291</v>
      </c>
      <c r="W7" s="68" t="n">
        <v>87.6707631642522</v>
      </c>
      <c r="X7" s="68" t="n">
        <v>1.94823918142783</v>
      </c>
      <c r="Y7" s="68" t="n">
        <v>0.432</v>
      </c>
      <c r="Z7" s="68" t="n">
        <v>24137492</v>
      </c>
      <c r="AA7" s="68" t="n">
        <v>0.445</v>
      </c>
      <c r="AB7" s="68" t="n">
        <v>236177</v>
      </c>
      <c r="AC7" s="68" t="n">
        <v>19176</v>
      </c>
      <c r="AD7" s="68" t="n">
        <v>6765</v>
      </c>
      <c r="AE7" s="68" t="n">
        <v>166</v>
      </c>
      <c r="AF7" s="68" t="n">
        <v>2761</v>
      </c>
      <c r="AG7" s="68" t="n">
        <v>7.5</v>
      </c>
      <c r="AH7" s="68" t="n">
        <v>11.6</v>
      </c>
      <c r="AI7" s="68" t="n">
        <v>50.6542187171235</v>
      </c>
      <c r="AJ7" s="68" t="n">
        <v>10</v>
      </c>
      <c r="AK7" s="68" t="n">
        <v>10.7</v>
      </c>
      <c r="AL7" s="68" t="n">
        <v>16641</v>
      </c>
      <c r="AM7" s="68" t="n">
        <v>143.520286365183</v>
      </c>
      <c r="AN7" s="68" t="n">
        <v>1557887</v>
      </c>
      <c r="AO7" s="68" t="n">
        <v>4287</v>
      </c>
      <c r="AP7" s="68" t="n">
        <v>1.29882612095188</v>
      </c>
      <c r="AQ7" s="68" t="n">
        <v>5648.5</v>
      </c>
      <c r="AR7" s="68" t="n">
        <v>3058423</v>
      </c>
      <c r="AS7" s="68" t="n">
        <v>129481</v>
      </c>
      <c r="AT7" s="68" t="n">
        <v>63996</v>
      </c>
      <c r="AU7" s="68" t="n">
        <v>1079295</v>
      </c>
      <c r="AV7" s="68" t="n">
        <v>101802434</v>
      </c>
      <c r="AW7" s="68" t="n">
        <v>24239428</v>
      </c>
      <c r="AX7" s="68" t="n">
        <v>811772</v>
      </c>
      <c r="AY7" s="68" t="n">
        <v>51647041</v>
      </c>
      <c r="AZ7" s="68" t="n">
        <v>1</v>
      </c>
    </row>
    <row r="8" customFormat="false" ht="12.75" hidden="false" customHeight="true" outlineLevel="0" collapsed="false">
      <c r="A8" s="68" t="s">
        <v>42</v>
      </c>
      <c r="B8" s="68" t="s">
        <v>43</v>
      </c>
      <c r="C8" s="68" t="n">
        <v>9.22261900931913</v>
      </c>
      <c r="D8" s="68" t="n">
        <v>16.9141842725474</v>
      </c>
      <c r="E8" s="68" t="n">
        <v>47</v>
      </c>
      <c r="F8" s="68" t="n">
        <v>25.5082133279219</v>
      </c>
      <c r="G8" s="68" t="n">
        <v>65.4987432325527</v>
      </c>
      <c r="H8" s="68" t="n">
        <v>0</v>
      </c>
      <c r="I8" s="68" t="n">
        <v>0</v>
      </c>
      <c r="J8" s="68" t="n">
        <v>21</v>
      </c>
      <c r="K8" s="68" t="n">
        <v>42</v>
      </c>
      <c r="L8" s="68" t="n">
        <v>4.83403822849822</v>
      </c>
      <c r="M8" s="68" t="n">
        <v>4</v>
      </c>
      <c r="N8" s="68" t="n">
        <v>14.7165941973393</v>
      </c>
      <c r="O8" s="68" t="n">
        <v>5</v>
      </c>
      <c r="P8" s="68" t="n">
        <v>33</v>
      </c>
      <c r="Q8" s="68" t="n">
        <v>331.61</v>
      </c>
      <c r="R8" s="68" t="n">
        <v>507</v>
      </c>
      <c r="S8" s="68" t="n">
        <v>39</v>
      </c>
      <c r="T8" s="68" t="n">
        <v>1</v>
      </c>
      <c r="U8" s="68" t="n">
        <v>0.372</v>
      </c>
      <c r="V8" s="68" t="n">
        <v>0.295</v>
      </c>
      <c r="W8" s="68" t="n">
        <v>65.3337589926722</v>
      </c>
      <c r="X8" s="68" t="n">
        <v>0.659936959521942</v>
      </c>
      <c r="Y8" s="68" t="n">
        <v>0.47</v>
      </c>
      <c r="Z8" s="68" t="n">
        <v>60400444</v>
      </c>
      <c r="AA8" s="68" t="n">
        <v>0.424</v>
      </c>
      <c r="AB8" s="68" t="n">
        <v>1146510</v>
      </c>
      <c r="AC8" s="68" t="n">
        <v>53517</v>
      </c>
      <c r="AD8" s="68" t="n">
        <v>23242</v>
      </c>
      <c r="AE8" s="68" t="n">
        <v>7605</v>
      </c>
      <c r="AF8" s="68" t="n">
        <v>9385</v>
      </c>
      <c r="AG8" s="68" t="n">
        <v>7.7</v>
      </c>
      <c r="AH8" s="68" t="n">
        <v>8.8</v>
      </c>
      <c r="AI8" s="68" t="n">
        <v>39.5962175713165</v>
      </c>
      <c r="AJ8" s="68" t="n">
        <v>102</v>
      </c>
      <c r="AK8" s="68" t="n">
        <v>12.3</v>
      </c>
      <c r="AL8" s="68" t="n">
        <v>147198</v>
      </c>
      <c r="AM8" s="68" t="n">
        <v>1295.11277473108</v>
      </c>
      <c r="AN8" s="68" t="n">
        <v>7307884</v>
      </c>
      <c r="AO8" s="68" t="n">
        <v>6196</v>
      </c>
      <c r="AP8" s="68" t="n">
        <v>0.329968479760971</v>
      </c>
      <c r="AQ8" s="68" t="n">
        <v>19352</v>
      </c>
      <c r="AR8" s="68" t="n">
        <v>13709951</v>
      </c>
      <c r="AS8" s="68" t="n">
        <v>56982</v>
      </c>
      <c r="AT8" s="68" t="n">
        <v>0</v>
      </c>
      <c r="AU8" s="68" t="n">
        <v>0</v>
      </c>
      <c r="AV8" s="68" t="n">
        <v>230562951</v>
      </c>
      <c r="AW8" s="68" t="n">
        <v>43552270</v>
      </c>
      <c r="AX8" s="68" t="n">
        <v>62052</v>
      </c>
      <c r="AY8" s="68" t="n">
        <v>90875903</v>
      </c>
      <c r="AZ8" s="68" t="n">
        <v>1</v>
      </c>
    </row>
    <row r="9" customFormat="false" ht="12.75" hidden="false" customHeight="true" outlineLevel="0" collapsed="false">
      <c r="A9" s="68" t="s">
        <v>46</v>
      </c>
      <c r="B9" s="68" t="s">
        <v>47</v>
      </c>
      <c r="C9" s="68" t="n">
        <v>18.9591187596637</v>
      </c>
      <c r="D9" s="68" t="n">
        <v>49.4218109289072</v>
      </c>
      <c r="E9" s="68" t="n">
        <v>6</v>
      </c>
      <c r="F9" s="68" t="n">
        <v>19.9455053437814</v>
      </c>
      <c r="G9" s="68" t="n">
        <v>43.4266301319324</v>
      </c>
      <c r="H9" s="68" t="n">
        <v>0</v>
      </c>
      <c r="I9" s="68" t="n">
        <v>2.56204307563023</v>
      </c>
      <c r="J9" s="68" t="n">
        <v>3</v>
      </c>
      <c r="K9" s="68" t="n">
        <v>39</v>
      </c>
      <c r="L9" s="68" t="n">
        <v>9.9919679949579</v>
      </c>
      <c r="M9" s="68" t="n">
        <v>2</v>
      </c>
      <c r="N9" s="68" t="n">
        <v>14.9495213463024</v>
      </c>
      <c r="O9" s="68" t="n">
        <v>1</v>
      </c>
      <c r="P9" s="68" t="n">
        <v>2</v>
      </c>
      <c r="Q9" s="68" t="n">
        <v>117.3</v>
      </c>
      <c r="R9" s="68" t="n">
        <v>114</v>
      </c>
      <c r="S9" s="68" t="n">
        <v>3</v>
      </c>
      <c r="T9" s="68" t="n">
        <v>7</v>
      </c>
      <c r="U9" s="68" t="n">
        <v>0.203</v>
      </c>
      <c r="V9" s="68" t="n">
        <v>0.22</v>
      </c>
      <c r="W9" s="68" t="n">
        <v>51.2408615126046</v>
      </c>
      <c r="X9" s="68" t="n">
        <v>0</v>
      </c>
      <c r="Y9" s="68" t="n">
        <v>0.396</v>
      </c>
      <c r="Z9" s="68" t="n">
        <v>18182163</v>
      </c>
      <c r="AA9" s="68" t="n">
        <v>0.477</v>
      </c>
      <c r="AB9" s="68" t="n">
        <v>111020</v>
      </c>
      <c r="AC9" s="68" t="n">
        <v>4894</v>
      </c>
      <c r="AD9" s="68" t="n">
        <v>2451</v>
      </c>
      <c r="AE9" s="68" t="n">
        <v>762</v>
      </c>
      <c r="AF9" s="68" t="n">
        <v>1136</v>
      </c>
      <c r="AG9" s="68" t="n">
        <v>6</v>
      </c>
      <c r="AH9" s="68" t="n">
        <v>9.9</v>
      </c>
      <c r="AI9" s="68" t="n">
        <v>11.529193840336</v>
      </c>
      <c r="AJ9" s="68" t="n">
        <v>7</v>
      </c>
      <c r="AK9" s="68" t="n">
        <v>10.2</v>
      </c>
      <c r="AL9" s="68" t="n">
        <v>26831</v>
      </c>
      <c r="AM9" s="68" t="n">
        <v>95.8047433258782</v>
      </c>
      <c r="AN9" s="68" t="n">
        <v>265601</v>
      </c>
      <c r="AO9" s="68" t="n">
        <v>3056</v>
      </c>
      <c r="AP9" s="68" t="n">
        <v>1.28102153781512</v>
      </c>
      <c r="AQ9" s="68" t="n">
        <v>4700</v>
      </c>
      <c r="AR9" s="68" t="n">
        <v>754000</v>
      </c>
      <c r="AS9" s="68" t="n">
        <v>179000</v>
      </c>
      <c r="AT9" s="68" t="n">
        <v>6000</v>
      </c>
      <c r="AU9" s="68" t="n">
        <v>345000</v>
      </c>
      <c r="AV9" s="68" t="n">
        <v>50200910</v>
      </c>
      <c r="AW9" s="68" t="n">
        <v>17850727</v>
      </c>
      <c r="AX9" s="68" t="n">
        <v>444491</v>
      </c>
      <c r="AY9" s="68" t="n">
        <v>43045390</v>
      </c>
      <c r="AZ9" s="68" t="n">
        <v>1</v>
      </c>
    </row>
    <row r="10" customFormat="false" ht="12.75" hidden="false" customHeight="true" outlineLevel="0" collapsed="false">
      <c r="A10" s="68" t="s">
        <v>50</v>
      </c>
      <c r="B10" s="68" t="s">
        <v>51</v>
      </c>
      <c r="C10" s="68" t="n">
        <v>15.6370960370974</v>
      </c>
      <c r="D10" s="68" t="n">
        <v>19.9428034670305</v>
      </c>
      <c r="E10" s="68" t="n">
        <v>10</v>
      </c>
      <c r="F10" s="68" t="n">
        <v>23.8520774763048</v>
      </c>
      <c r="G10" s="68" t="n">
        <v>35.8992486485475</v>
      </c>
      <c r="H10" s="68" t="n">
        <v>9</v>
      </c>
      <c r="I10" s="68" t="n">
        <v>1.10120394627446</v>
      </c>
      <c r="J10" s="68" t="n">
        <v>1</v>
      </c>
      <c r="K10" s="68" t="n">
        <v>24</v>
      </c>
      <c r="L10" s="68" t="n">
        <v>8.69951117556825</v>
      </c>
      <c r="M10" s="68" t="n">
        <v>5</v>
      </c>
      <c r="N10" s="68" t="n">
        <v>25.3827509616264</v>
      </c>
      <c r="O10" s="68" t="n">
        <v>0</v>
      </c>
      <c r="P10" s="68" t="n">
        <v>3</v>
      </c>
      <c r="Q10" s="68" t="n">
        <v>109.73</v>
      </c>
      <c r="R10" s="68" t="n">
        <v>130</v>
      </c>
      <c r="S10" s="68" t="n">
        <v>0</v>
      </c>
      <c r="T10" s="68" t="n">
        <v>2</v>
      </c>
      <c r="U10" s="68" t="n">
        <v>0.245</v>
      </c>
      <c r="V10" s="68" t="n">
        <v>0.227</v>
      </c>
      <c r="W10" s="68" t="n">
        <v>27.5300986568616</v>
      </c>
      <c r="X10" s="68" t="n">
        <v>1.10120394627446</v>
      </c>
      <c r="Y10" s="68" t="n">
        <v>0.427</v>
      </c>
      <c r="Z10" s="68" t="n">
        <v>25936948</v>
      </c>
      <c r="AA10" s="68" t="n">
        <v>0.53</v>
      </c>
      <c r="AB10" s="68" t="n">
        <v>124820</v>
      </c>
      <c r="AC10" s="68" t="n">
        <v>6018</v>
      </c>
      <c r="AD10" s="68" t="n">
        <v>4771</v>
      </c>
      <c r="AE10" s="68" t="n">
        <v>194</v>
      </c>
      <c r="AF10" s="68" t="n">
        <v>1875</v>
      </c>
      <c r="AG10" s="68" t="n">
        <v>6.4</v>
      </c>
      <c r="AH10" s="68" t="n">
        <v>15.8</v>
      </c>
      <c r="AI10" s="68" t="n">
        <v>11.0120394627446</v>
      </c>
      <c r="AJ10" s="68" t="n">
        <v>5</v>
      </c>
      <c r="AK10" s="68" t="n">
        <v>10.7</v>
      </c>
      <c r="AL10" s="68" t="n">
        <v>1371</v>
      </c>
      <c r="AM10" s="68" t="n">
        <v>48.3464961145533</v>
      </c>
      <c r="AN10" s="68" t="n">
        <v>165417</v>
      </c>
      <c r="AO10" s="68" t="n">
        <v>1311</v>
      </c>
      <c r="AP10" s="68" t="n">
        <v>1.10120394627446</v>
      </c>
      <c r="AQ10" s="68" t="n">
        <v>7183</v>
      </c>
      <c r="AR10" s="68" t="n">
        <v>647510</v>
      </c>
      <c r="AS10" s="68" t="n">
        <v>168850</v>
      </c>
      <c r="AT10" s="68" t="n">
        <v>8000</v>
      </c>
      <c r="AU10" s="68" t="n">
        <v>218000</v>
      </c>
      <c r="AV10" s="68" t="n">
        <v>97730159</v>
      </c>
      <c r="AW10" s="68" t="n">
        <v>19292650</v>
      </c>
      <c r="AX10" s="68" t="n">
        <v>486500</v>
      </c>
      <c r="AY10" s="68" t="n">
        <v>48826193</v>
      </c>
      <c r="AZ10" s="68" t="n">
        <v>2</v>
      </c>
    </row>
    <row r="11" customFormat="false" ht="12.75" hidden="false" customHeight="true" outlineLevel="0" collapsed="false">
      <c r="A11" s="68" t="s">
        <v>53</v>
      </c>
      <c r="B11" s="68" t="s">
        <v>54</v>
      </c>
      <c r="C11" s="68" t="n">
        <v>14.1279205312528</v>
      </c>
      <c r="D11" s="68" t="n">
        <v>14.0043683745156</v>
      </c>
      <c r="E11" s="68" t="n">
        <v>16</v>
      </c>
      <c r="F11" s="68" t="n">
        <v>27.1599871505757</v>
      </c>
      <c r="G11" s="68" t="n">
        <v>38.1937319304971</v>
      </c>
      <c r="H11" s="68" t="n">
        <v>2</v>
      </c>
      <c r="I11" s="68" t="n">
        <v>1.61154987048511</v>
      </c>
      <c r="J11" s="68" t="n">
        <v>6</v>
      </c>
      <c r="K11" s="68" t="n">
        <v>26</v>
      </c>
      <c r="L11" s="68" t="n">
        <v>1.61154987048511</v>
      </c>
      <c r="M11" s="68" t="n">
        <v>3</v>
      </c>
      <c r="N11" s="68" t="n">
        <v>20.5311453499803</v>
      </c>
      <c r="O11" s="68" t="n">
        <v>1</v>
      </c>
      <c r="P11" s="68" t="n">
        <v>3</v>
      </c>
      <c r="Q11" s="68" t="n">
        <v>162.84</v>
      </c>
      <c r="R11" s="68" t="n">
        <v>211</v>
      </c>
      <c r="S11" s="68" t="n">
        <v>1</v>
      </c>
      <c r="T11" s="68" t="n">
        <v>0</v>
      </c>
      <c r="U11" s="68" t="n">
        <v>0.36</v>
      </c>
      <c r="V11" s="68" t="n">
        <v>0.31</v>
      </c>
      <c r="W11" s="68" t="n">
        <v>63.9248115292427</v>
      </c>
      <c r="X11" s="68" t="n">
        <v>0</v>
      </c>
      <c r="Y11" s="68" t="n">
        <v>0.42</v>
      </c>
      <c r="Z11" s="68" t="n">
        <v>41208340</v>
      </c>
      <c r="AA11" s="68" t="n">
        <v>0.41</v>
      </c>
      <c r="AB11" s="68" t="n">
        <v>292281</v>
      </c>
      <c r="AC11" s="68" t="n">
        <v>19222</v>
      </c>
      <c r="AD11" s="68" t="n">
        <v>5713</v>
      </c>
      <c r="AE11" s="68" t="n">
        <v>37</v>
      </c>
      <c r="AF11" s="68" t="n">
        <v>3193</v>
      </c>
      <c r="AG11" s="68" t="n">
        <v>7.9</v>
      </c>
      <c r="AH11" s="68" t="n">
        <v>15.8</v>
      </c>
      <c r="AI11" s="68" t="n">
        <v>12.8923989638809</v>
      </c>
      <c r="AJ11" s="68" t="n">
        <v>12</v>
      </c>
      <c r="AK11" s="68" t="n">
        <v>11.8</v>
      </c>
      <c r="AL11" s="68" t="n">
        <v>15518</v>
      </c>
      <c r="AM11" s="68" t="n">
        <v>188.606554077754</v>
      </c>
      <c r="AN11" s="68" t="n">
        <v>305920</v>
      </c>
      <c r="AO11" s="68" t="n">
        <v>4475</v>
      </c>
      <c r="AP11" s="68" t="n">
        <v>1.07436658032341</v>
      </c>
      <c r="AQ11" s="68" t="n">
        <v>7362</v>
      </c>
      <c r="AR11" s="68" t="n">
        <v>3548528</v>
      </c>
      <c r="AS11" s="68" t="n">
        <v>317000</v>
      </c>
      <c r="AT11" s="68" t="n">
        <v>44000</v>
      </c>
      <c r="AU11" s="68" t="n">
        <v>319660</v>
      </c>
      <c r="AV11" s="68" t="n">
        <v>137998425</v>
      </c>
      <c r="AW11" s="68" t="n">
        <v>28228357</v>
      </c>
      <c r="AX11" s="68" t="n">
        <v>1646127</v>
      </c>
      <c r="AY11" s="68" t="n">
        <v>88172439</v>
      </c>
      <c r="AZ11" s="68" t="n">
        <v>3</v>
      </c>
    </row>
    <row r="12" customFormat="false" ht="12.75" hidden="false" customHeight="true" outlineLevel="0" collapsed="false">
      <c r="A12" s="68" t="s">
        <v>55</v>
      </c>
      <c r="B12" s="68" t="s">
        <v>56</v>
      </c>
      <c r="C12" s="68" t="n">
        <v>15.9855554980536</v>
      </c>
      <c r="D12" s="68" t="n">
        <v>15.6865451074425</v>
      </c>
      <c r="E12" s="68" t="n">
        <v>25</v>
      </c>
      <c r="F12" s="68" t="n">
        <v>25.8873995871357</v>
      </c>
      <c r="G12" s="68" t="n">
        <v>40.8264187180505</v>
      </c>
      <c r="H12" s="68" t="n">
        <v>23</v>
      </c>
      <c r="I12" s="68" t="n">
        <v>2.30007992777749</v>
      </c>
      <c r="J12" s="68" t="n">
        <v>2</v>
      </c>
      <c r="K12" s="68" t="n">
        <v>16</v>
      </c>
      <c r="L12" s="68" t="n">
        <v>9.08531571472109</v>
      </c>
      <c r="M12" s="68" t="n">
        <v>13</v>
      </c>
      <c r="N12" s="68" t="n">
        <v>22.7362900860805</v>
      </c>
      <c r="O12" s="68" t="n">
        <v>4</v>
      </c>
      <c r="P12" s="68" t="n">
        <v>1</v>
      </c>
      <c r="Q12" s="68" t="n">
        <v>135.88</v>
      </c>
      <c r="R12" s="68" t="n">
        <v>118</v>
      </c>
      <c r="S12" s="68" t="n">
        <v>5</v>
      </c>
      <c r="T12" s="68" t="n">
        <v>0</v>
      </c>
      <c r="U12" s="68" t="n">
        <v>0.381</v>
      </c>
      <c r="V12" s="68" t="n">
        <v>0.288</v>
      </c>
      <c r="W12" s="68" t="n">
        <v>78.2027175444347</v>
      </c>
      <c r="X12" s="68" t="n">
        <v>1.15003996388875</v>
      </c>
      <c r="Y12" s="68" t="n">
        <v>0.369</v>
      </c>
      <c r="Z12" s="68" t="n">
        <v>29000528</v>
      </c>
      <c r="AA12" s="68" t="n">
        <v>0.469</v>
      </c>
      <c r="AB12" s="68" t="n">
        <v>140063</v>
      </c>
      <c r="AC12" s="68" t="n">
        <v>8685</v>
      </c>
      <c r="AD12" s="68" t="n">
        <v>3161</v>
      </c>
      <c r="AE12" s="68" t="n">
        <v>323</v>
      </c>
      <c r="AF12" s="68" t="n">
        <v>1550</v>
      </c>
      <c r="AG12" s="68" t="n">
        <v>8</v>
      </c>
      <c r="AH12" s="68" t="n">
        <v>18.1</v>
      </c>
      <c r="AI12" s="68" t="n">
        <v>20.7007193499974</v>
      </c>
      <c r="AJ12" s="68" t="n">
        <v>4</v>
      </c>
      <c r="AK12" s="68" t="n">
        <v>30.3</v>
      </c>
      <c r="AL12" s="68" t="n">
        <v>5856</v>
      </c>
      <c r="AM12" s="68" t="n">
        <v>232.88701332226</v>
      </c>
      <c r="AN12" s="68" t="n">
        <v>395583</v>
      </c>
      <c r="AO12" s="68" t="n">
        <v>372</v>
      </c>
      <c r="AP12" s="68" t="n">
        <v>1.15003996388875</v>
      </c>
      <c r="AQ12" s="68" t="n">
        <v>9488</v>
      </c>
      <c r="AR12" s="68" t="n">
        <v>1842375</v>
      </c>
      <c r="AS12" s="68" t="n">
        <v>108799</v>
      </c>
      <c r="AT12" s="68" t="n">
        <v>27507</v>
      </c>
      <c r="AU12" s="68" t="n">
        <v>0</v>
      </c>
      <c r="AV12" s="68" t="n">
        <v>67212297</v>
      </c>
      <c r="AW12" s="68" t="n">
        <v>31050589</v>
      </c>
      <c r="AX12" s="68" t="n">
        <v>0</v>
      </c>
      <c r="AY12" s="68" t="n">
        <v>54529735</v>
      </c>
      <c r="AZ12" s="68" t="n">
        <v>2</v>
      </c>
    </row>
    <row r="13" customFormat="false" ht="12.75" hidden="false" customHeight="true" outlineLevel="0" collapsed="false">
      <c r="A13" s="68" t="s">
        <v>57</v>
      </c>
      <c r="B13" s="68" t="s">
        <v>58</v>
      </c>
      <c r="C13" s="68" t="n">
        <v>34.5121718537806</v>
      </c>
      <c r="D13" s="68" t="n">
        <v>26.2068036678302</v>
      </c>
      <c r="E13" s="68" t="n">
        <v>9</v>
      </c>
      <c r="F13" s="68" t="n">
        <v>30.4717224660209</v>
      </c>
      <c r="G13" s="68" t="n">
        <v>42.6491879819078</v>
      </c>
      <c r="H13" s="68" t="n">
        <v>2</v>
      </c>
      <c r="I13" s="68" t="n">
        <v>2.80586763038867</v>
      </c>
      <c r="J13" s="68" t="n">
        <v>1</v>
      </c>
      <c r="K13" s="68" t="n">
        <v>40</v>
      </c>
      <c r="L13" s="68" t="n">
        <v>8.69818965420487</v>
      </c>
      <c r="M13" s="68" t="n">
        <v>12</v>
      </c>
      <c r="N13" s="68" t="n">
        <v>0</v>
      </c>
      <c r="O13" s="68" t="n">
        <v>1</v>
      </c>
      <c r="P13" s="68" t="n">
        <v>0</v>
      </c>
      <c r="Q13" s="68" t="n">
        <v>191.32</v>
      </c>
      <c r="R13" s="68" t="n">
        <v>44</v>
      </c>
      <c r="S13" s="68" t="n">
        <v>1</v>
      </c>
      <c r="T13" s="68" t="n">
        <v>0</v>
      </c>
      <c r="U13" s="68" t="n">
        <v>0.274</v>
      </c>
      <c r="V13" s="68" t="n">
        <v>0.27</v>
      </c>
      <c r="W13" s="68" t="n">
        <v>101.011234693992</v>
      </c>
      <c r="X13" s="68" t="n">
        <v>0</v>
      </c>
      <c r="Y13" s="68" t="n">
        <v>0.298</v>
      </c>
      <c r="Z13" s="68" t="n">
        <v>15834434</v>
      </c>
      <c r="AA13" s="68" t="n">
        <v>0.44</v>
      </c>
      <c r="AB13" s="68" t="n">
        <v>22076</v>
      </c>
      <c r="AC13" s="68" t="n">
        <v>3235</v>
      </c>
      <c r="AD13" s="68" t="n">
        <v>818</v>
      </c>
      <c r="AE13" s="68" t="n">
        <v>29</v>
      </c>
      <c r="AF13" s="68" t="n">
        <v>773</v>
      </c>
      <c r="AG13" s="68" t="n">
        <v>6.4</v>
      </c>
      <c r="AH13" s="68" t="n">
        <v>14.3</v>
      </c>
      <c r="AI13" s="68" t="n">
        <v>11.2234705215547</v>
      </c>
      <c r="AJ13" s="68" t="n">
        <v>4</v>
      </c>
      <c r="AK13" s="68" t="n">
        <v>11.3</v>
      </c>
      <c r="AL13" s="68" t="n">
        <v>6171</v>
      </c>
      <c r="AM13" s="68" t="n">
        <v>51.6226966859624</v>
      </c>
      <c r="AN13" s="68" t="n">
        <v>71200</v>
      </c>
      <c r="AO13" s="68" t="n">
        <v>71</v>
      </c>
      <c r="AP13" s="68" t="n">
        <v>2.80586763038867</v>
      </c>
      <c r="AQ13" s="68" t="n">
        <v>7109</v>
      </c>
      <c r="AR13" s="68" t="n">
        <v>1476220</v>
      </c>
      <c r="AS13" s="68" t="n">
        <v>253292</v>
      </c>
      <c r="AT13" s="68" t="n">
        <v>35000</v>
      </c>
      <c r="AU13" s="68" t="n">
        <v>13000</v>
      </c>
      <c r="AV13" s="68" t="n">
        <v>49376288</v>
      </c>
      <c r="AW13" s="68" t="n">
        <v>22065484</v>
      </c>
      <c r="AX13" s="68" t="n">
        <v>486875</v>
      </c>
      <c r="AY13" s="68" t="n">
        <v>32409855</v>
      </c>
      <c r="AZ13" s="68" t="n">
        <v>1</v>
      </c>
    </row>
    <row r="14" customFormat="false" ht="12.75" hidden="false" customHeight="true" outlineLevel="0" collapsed="false">
      <c r="A14" s="68" t="s">
        <v>61</v>
      </c>
      <c r="B14" s="68" t="s">
        <v>62</v>
      </c>
      <c r="C14" s="68" t="n">
        <v>36.4149292838816</v>
      </c>
      <c r="D14" s="68" t="n">
        <v>27.3600292435601</v>
      </c>
      <c r="E14" s="68" t="n">
        <v>24</v>
      </c>
      <c r="F14" s="68" t="n">
        <v>22.6442261408965</v>
      </c>
      <c r="G14" s="68" t="n">
        <v>47.2975518284899</v>
      </c>
      <c r="H14" s="68" t="n">
        <v>2</v>
      </c>
      <c r="I14" s="68" t="n">
        <v>4.18562405561857</v>
      </c>
      <c r="J14" s="68" t="n">
        <v>2</v>
      </c>
      <c r="K14" s="68" t="n">
        <v>27</v>
      </c>
      <c r="L14" s="68" t="n">
        <v>20.9281202780929</v>
      </c>
      <c r="M14" s="68" t="n">
        <v>8</v>
      </c>
      <c r="N14" s="68" t="n">
        <v>25.7276358618688</v>
      </c>
      <c r="O14" s="68" t="n">
        <v>2</v>
      </c>
      <c r="P14" s="68" t="n">
        <v>2</v>
      </c>
      <c r="Q14" s="68" t="n">
        <v>162.58</v>
      </c>
      <c r="R14" s="68" t="n">
        <v>86</v>
      </c>
      <c r="S14" s="68" t="n">
        <v>6</v>
      </c>
      <c r="T14" s="68" t="n">
        <v>0</v>
      </c>
      <c r="U14" s="68" t="n">
        <v>0.323</v>
      </c>
      <c r="V14" s="68" t="n">
        <v>0.201</v>
      </c>
      <c r="W14" s="68" t="n">
        <v>104.640601390464</v>
      </c>
      <c r="X14" s="68" t="n">
        <v>0</v>
      </c>
      <c r="Y14" s="68" t="n">
        <v>0.374</v>
      </c>
      <c r="Z14" s="68" t="n">
        <v>19901362</v>
      </c>
      <c r="AA14" s="68" t="n">
        <v>0.426</v>
      </c>
      <c r="AB14" s="68" t="n">
        <v>85949</v>
      </c>
      <c r="AC14" s="68" t="n">
        <v>8729</v>
      </c>
      <c r="AD14" s="68" t="n">
        <v>2023</v>
      </c>
      <c r="AE14" s="68" t="n">
        <v>192</v>
      </c>
      <c r="AF14" s="68" t="n">
        <v>1409</v>
      </c>
      <c r="AG14" s="68" t="n">
        <v>3.5</v>
      </c>
      <c r="AH14" s="68" t="n">
        <v>11.8</v>
      </c>
      <c r="AI14" s="68" t="n">
        <v>23.7185363151719</v>
      </c>
      <c r="AJ14" s="68" t="n">
        <v>2</v>
      </c>
      <c r="AK14" s="68" t="n">
        <v>8</v>
      </c>
      <c r="AL14" s="68" t="n">
        <v>2160</v>
      </c>
      <c r="AM14" s="68" t="n">
        <v>994.622480654046</v>
      </c>
      <c r="AN14" s="68" t="n">
        <v>122157</v>
      </c>
      <c r="AO14" s="68" t="n">
        <v>2251</v>
      </c>
      <c r="AP14" s="68" t="n">
        <v>4.18562405561857</v>
      </c>
      <c r="AQ14" s="68" t="n">
        <v>4707.66666666667</v>
      </c>
      <c r="AR14" s="68" t="n">
        <v>7108761</v>
      </c>
      <c r="AS14" s="68" t="n">
        <v>264511</v>
      </c>
      <c r="AT14" s="68" t="n">
        <v>96915</v>
      </c>
      <c r="AU14" s="68" t="n">
        <v>63500</v>
      </c>
      <c r="AV14" s="68" t="n">
        <v>101170739</v>
      </c>
      <c r="AW14" s="68" t="n">
        <v>40816121</v>
      </c>
      <c r="AX14" s="68" t="n">
        <v>737875</v>
      </c>
      <c r="AY14" s="68" t="n">
        <v>62581190</v>
      </c>
      <c r="AZ14" s="68" t="n">
        <v>2</v>
      </c>
    </row>
    <row r="15" customFormat="false" ht="12.75" hidden="false" customHeight="true" outlineLevel="0" collapsed="false">
      <c r="A15" s="68" t="s">
        <v>64</v>
      </c>
      <c r="B15" s="68" t="s">
        <v>65</v>
      </c>
      <c r="C15" s="68" t="n">
        <v>76.5094215887728</v>
      </c>
      <c r="D15" s="68" t="n">
        <v>40.9871901368426</v>
      </c>
      <c r="E15" s="68" t="n">
        <v>15</v>
      </c>
      <c r="F15" s="68" t="n">
        <v>27.5433917719582</v>
      </c>
      <c r="G15" s="68" t="n">
        <v>43.7196694792987</v>
      </c>
      <c r="H15" s="68" t="n">
        <v>0</v>
      </c>
      <c r="I15" s="68" t="n">
        <v>10.9299173698247</v>
      </c>
      <c r="J15" s="68" t="n">
        <v>0</v>
      </c>
      <c r="K15" s="68" t="n">
        <v>57</v>
      </c>
      <c r="L15" s="68" t="n">
        <v>67.765487692913</v>
      </c>
      <c r="M15" s="68" t="n">
        <v>4</v>
      </c>
      <c r="N15" s="68" t="n">
        <v>24.2644165610108</v>
      </c>
      <c r="O15" s="68" t="n">
        <v>1</v>
      </c>
      <c r="P15" s="68" t="n">
        <v>0</v>
      </c>
      <c r="Q15" s="68" t="n">
        <v>170.81</v>
      </c>
      <c r="R15" s="68" t="n">
        <v>20</v>
      </c>
      <c r="S15" s="68" t="n">
        <v>0</v>
      </c>
      <c r="T15" s="68" t="n">
        <v>0</v>
      </c>
      <c r="U15" s="68" t="n">
        <v>0.351</v>
      </c>
      <c r="V15" s="68" t="n">
        <v>0.256</v>
      </c>
      <c r="W15" s="68" t="n">
        <v>174.878677917195</v>
      </c>
      <c r="X15" s="68" t="n">
        <v>10.9299173698247</v>
      </c>
      <c r="Y15" s="68"/>
      <c r="Z15" s="68" t="n">
        <v>15972532</v>
      </c>
      <c r="AA15" s="68" t="n">
        <v>0.445</v>
      </c>
      <c r="AB15" s="68" t="n">
        <v>14119</v>
      </c>
      <c r="AC15" s="68" t="n">
        <v>3349</v>
      </c>
      <c r="AD15" s="68" t="n">
        <v>422</v>
      </c>
      <c r="AE15" s="68" t="n">
        <v>0</v>
      </c>
      <c r="AF15" s="68" t="n">
        <v>469</v>
      </c>
      <c r="AG15" s="68" t="n">
        <v>4.4</v>
      </c>
      <c r="AH15" s="68" t="n">
        <v>5.2</v>
      </c>
      <c r="AI15" s="68" t="n">
        <v>32.7897521094741</v>
      </c>
      <c r="AJ15" s="68" t="n">
        <v>1</v>
      </c>
      <c r="AK15" s="68" t="n">
        <v>7</v>
      </c>
      <c r="AL15" s="68" t="n">
        <v>1953</v>
      </c>
      <c r="AM15" s="68" t="n">
        <v>106.082505668784</v>
      </c>
      <c r="AN15" s="68" t="n">
        <v>13667</v>
      </c>
      <c r="AO15" s="68" t="n">
        <v>379</v>
      </c>
      <c r="AP15" s="68" t="n">
        <v>10.9299173698247</v>
      </c>
      <c r="AQ15" s="68" t="n">
        <v>5660</v>
      </c>
      <c r="AR15" s="68" t="n">
        <v>200654</v>
      </c>
      <c r="AS15" s="68" t="n">
        <v>65000</v>
      </c>
      <c r="AT15" s="68" t="n">
        <v>454500</v>
      </c>
      <c r="AU15" s="68" t="n">
        <v>536488</v>
      </c>
      <c r="AV15" s="68" t="n">
        <v>32558406</v>
      </c>
      <c r="AW15" s="68" t="n">
        <v>13692259</v>
      </c>
      <c r="AX15" s="68" t="n">
        <v>794614</v>
      </c>
      <c r="AY15" s="68" t="n">
        <v>29462726</v>
      </c>
      <c r="AZ15" s="68" t="n">
        <v>2</v>
      </c>
    </row>
    <row r="16" customFormat="false" ht="12.75" hidden="false" customHeight="true" outlineLevel="0" collapsed="false">
      <c r="A16" s="68" t="s">
        <v>67</v>
      </c>
      <c r="B16" s="68" t="s">
        <v>68</v>
      </c>
      <c r="C16" s="68" t="n">
        <v>59.008393778261</v>
      </c>
      <c r="D16" s="68" t="n">
        <v>59.339901608476</v>
      </c>
      <c r="E16" s="68" t="n">
        <v>12</v>
      </c>
      <c r="F16" s="68" t="n">
        <v>34.6757190404837</v>
      </c>
      <c r="G16" s="68" t="n">
        <v>71.6056913264291</v>
      </c>
      <c r="H16" s="68" t="n">
        <v>0</v>
      </c>
      <c r="I16" s="68" t="n">
        <v>13.260313208598</v>
      </c>
      <c r="J16" s="68" t="n">
        <v>1</v>
      </c>
      <c r="K16" s="68" t="n">
        <v>15</v>
      </c>
      <c r="L16" s="68" t="n">
        <v>137.244241708989</v>
      </c>
      <c r="M16" s="68" t="n">
        <v>0</v>
      </c>
      <c r="N16" s="68" t="n">
        <v>18.3655337939082</v>
      </c>
      <c r="O16" s="68" t="n">
        <v>1</v>
      </c>
      <c r="P16" s="68" t="n">
        <v>2</v>
      </c>
      <c r="Q16" s="68" t="n">
        <v>297.25</v>
      </c>
      <c r="R16" s="68" t="n">
        <v>21</v>
      </c>
      <c r="S16" s="68" t="n">
        <v>3</v>
      </c>
      <c r="T16" s="68" t="n">
        <v>0</v>
      </c>
      <c r="U16" s="68" t="n">
        <v>0.283</v>
      </c>
      <c r="V16" s="68" t="n">
        <v>0.18</v>
      </c>
      <c r="W16" s="68" t="n">
        <v>53.041252834392</v>
      </c>
      <c r="X16" s="68" t="n">
        <v>6.63015660429899</v>
      </c>
      <c r="Y16" s="68" t="n">
        <v>0.367</v>
      </c>
      <c r="Z16" s="68" t="n">
        <v>20075842</v>
      </c>
      <c r="AA16" s="68" t="n">
        <v>0.414</v>
      </c>
      <c r="AB16" s="68" t="n">
        <v>8659</v>
      </c>
      <c r="AC16" s="68" t="n">
        <v>2527</v>
      </c>
      <c r="AD16" s="68" t="n">
        <v>660</v>
      </c>
      <c r="AE16" s="68" t="n">
        <v>0</v>
      </c>
      <c r="AF16" s="68" t="n">
        <v>216</v>
      </c>
      <c r="AG16" s="68" t="n">
        <v>5.4</v>
      </c>
      <c r="AH16" s="68" t="n">
        <v>6.1</v>
      </c>
      <c r="AI16" s="68" t="n">
        <v>86.1920358558869</v>
      </c>
      <c r="AJ16" s="68" t="n">
        <v>1</v>
      </c>
      <c r="AK16" s="68" t="n">
        <v>22</v>
      </c>
      <c r="AL16" s="68" t="n">
        <v>616</v>
      </c>
      <c r="AM16" s="68" t="n">
        <v>5.11451143629505</v>
      </c>
      <c r="AN16" s="68" t="n">
        <v>322800</v>
      </c>
      <c r="AO16" s="68" t="n">
        <v>397</v>
      </c>
      <c r="AP16" s="68" t="n">
        <v>13.260313208598</v>
      </c>
      <c r="AQ16" s="68" t="n">
        <v>4217</v>
      </c>
      <c r="AR16" s="68" t="n">
        <v>558678</v>
      </c>
      <c r="AS16" s="68" t="n">
        <v>266000</v>
      </c>
      <c r="AT16" s="68" t="n">
        <v>525000</v>
      </c>
      <c r="AU16" s="68" t="n">
        <v>32100</v>
      </c>
      <c r="AV16" s="68" t="n">
        <v>30955753</v>
      </c>
      <c r="AW16" s="68" t="n">
        <v>18036736</v>
      </c>
      <c r="AX16" s="68" t="n">
        <v>357752</v>
      </c>
      <c r="AY16" s="68" t="n">
        <v>30288105</v>
      </c>
      <c r="AZ16" s="6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60"/>
  </cols>
  <sheetData>
    <row r="1" customFormat="false" ht="27" hidden="false" customHeight="true" outlineLevel="0" collapsed="false">
      <c r="A1" s="35" t="s">
        <v>708</v>
      </c>
      <c r="B1" s="35"/>
      <c r="C1" s="35"/>
      <c r="D1" s="35"/>
      <c r="E1" s="35"/>
      <c r="F1" s="35"/>
    </row>
    <row r="2" customFormat="false" ht="18" hidden="false" customHeight="true" outlineLevel="0" collapsed="false">
      <c r="A2" s="25" t="s">
        <v>709</v>
      </c>
      <c r="B2" s="25"/>
      <c r="C2" s="25"/>
      <c r="D2" s="25"/>
      <c r="E2" s="25"/>
      <c r="F2" s="25"/>
    </row>
    <row r="3" customFormat="false" ht="27.75" hidden="false" customHeight="true" outlineLevel="0" collapsed="false">
      <c r="A3" s="5" t="s">
        <v>204</v>
      </c>
      <c r="B3" s="5" t="s">
        <v>710</v>
      </c>
      <c r="C3" s="5" t="s">
        <v>711</v>
      </c>
      <c r="D3" s="5" t="s">
        <v>712</v>
      </c>
      <c r="E3" s="5" t="s">
        <v>713</v>
      </c>
      <c r="F3" s="5" t="s">
        <v>714</v>
      </c>
    </row>
    <row r="4" customFormat="false" ht="30" hidden="false" customHeight="true" outlineLevel="0" collapsed="false">
      <c r="A4" s="26" t="s">
        <v>120</v>
      </c>
      <c r="B4" s="30" t="s">
        <v>658</v>
      </c>
      <c r="C4" s="26" t="s">
        <v>715</v>
      </c>
      <c r="D4" s="26" t="n">
        <v>2010</v>
      </c>
      <c r="E4" s="30" t="s">
        <v>716</v>
      </c>
      <c r="F4" s="30" t="s">
        <v>717</v>
      </c>
    </row>
    <row r="5" customFormat="false" ht="30" hidden="false" customHeight="true" outlineLevel="0" collapsed="false">
      <c r="A5" s="28" t="s">
        <v>120</v>
      </c>
      <c r="B5" s="31" t="s">
        <v>659</v>
      </c>
      <c r="C5" s="28" t="s">
        <v>715</v>
      </c>
      <c r="D5" s="28" t="n">
        <v>2006</v>
      </c>
      <c r="E5" s="31" t="s">
        <v>718</v>
      </c>
      <c r="F5" s="31" t="s">
        <v>719</v>
      </c>
    </row>
    <row r="6" customFormat="false" ht="30" hidden="false" customHeight="true" outlineLevel="0" collapsed="false">
      <c r="A6" s="26" t="s">
        <v>120</v>
      </c>
      <c r="B6" s="30" t="s">
        <v>660</v>
      </c>
      <c r="C6" s="26" t="s">
        <v>46</v>
      </c>
      <c r="D6" s="26" t="n">
        <v>2011</v>
      </c>
      <c r="E6" s="30" t="s">
        <v>720</v>
      </c>
      <c r="F6" s="30" t="s">
        <v>721</v>
      </c>
    </row>
    <row r="7" customFormat="false" ht="30" hidden="false" customHeight="true" outlineLevel="0" collapsed="false">
      <c r="A7" s="28" t="s">
        <v>120</v>
      </c>
      <c r="B7" s="31" t="s">
        <v>661</v>
      </c>
      <c r="C7" s="28" t="s">
        <v>46</v>
      </c>
      <c r="D7" s="28" t="n">
        <v>2011</v>
      </c>
      <c r="E7" s="31" t="s">
        <v>722</v>
      </c>
      <c r="F7" s="31" t="s">
        <v>723</v>
      </c>
    </row>
    <row r="8" customFormat="false" ht="30" hidden="false" customHeight="true" outlineLevel="0" collapsed="false">
      <c r="A8" s="26" t="s">
        <v>120</v>
      </c>
      <c r="B8" s="30" t="s">
        <v>662</v>
      </c>
      <c r="C8" s="26" t="s">
        <v>46</v>
      </c>
      <c r="D8" s="26" t="n">
        <v>2010</v>
      </c>
      <c r="E8" s="30" t="s">
        <v>724</v>
      </c>
      <c r="F8" s="30" t="s">
        <v>725</v>
      </c>
    </row>
    <row r="9" customFormat="false" ht="30" hidden="false" customHeight="true" outlineLevel="0" collapsed="false">
      <c r="A9" s="28" t="s">
        <v>120</v>
      </c>
      <c r="B9" s="31" t="s">
        <v>663</v>
      </c>
      <c r="C9" s="28" t="s">
        <v>715</v>
      </c>
      <c r="D9" s="28" t="n">
        <v>2011</v>
      </c>
      <c r="E9" s="31" t="s">
        <v>726</v>
      </c>
      <c r="F9" s="31" t="s">
        <v>721</v>
      </c>
    </row>
    <row r="10" customFormat="false" ht="30" hidden="false" customHeight="true" outlineLevel="0" collapsed="false">
      <c r="A10" s="26" t="s">
        <v>120</v>
      </c>
      <c r="B10" s="30" t="s">
        <v>664</v>
      </c>
      <c r="C10" s="26" t="s">
        <v>715</v>
      </c>
      <c r="D10" s="26" t="n">
        <v>2011</v>
      </c>
      <c r="E10" s="30" t="s">
        <v>727</v>
      </c>
      <c r="F10" s="30" t="s">
        <v>728</v>
      </c>
    </row>
    <row r="11" customFormat="false" ht="30" hidden="false" customHeight="true" outlineLevel="0" collapsed="false">
      <c r="A11" s="28" t="s">
        <v>120</v>
      </c>
      <c r="B11" s="31" t="s">
        <v>665</v>
      </c>
      <c r="C11" s="28" t="s">
        <v>46</v>
      </c>
      <c r="D11" s="28" t="n">
        <v>2011</v>
      </c>
      <c r="E11" s="31" t="s">
        <v>729</v>
      </c>
      <c r="F11" s="31" t="s">
        <v>730</v>
      </c>
    </row>
    <row r="12" customFormat="false" ht="30" hidden="false" customHeight="true" outlineLevel="0" collapsed="false">
      <c r="A12" s="26" t="s">
        <v>120</v>
      </c>
      <c r="B12" s="30" t="s">
        <v>666</v>
      </c>
      <c r="C12" s="26" t="s">
        <v>731</v>
      </c>
      <c r="D12" s="26" t="n">
        <v>2011</v>
      </c>
      <c r="E12" s="30" t="s">
        <v>720</v>
      </c>
      <c r="F12" s="30" t="s">
        <v>721</v>
      </c>
    </row>
    <row r="13" customFormat="false" ht="30" hidden="false" customHeight="true" outlineLevel="0" collapsed="false">
      <c r="A13" s="28" t="s">
        <v>120</v>
      </c>
      <c r="B13" s="31" t="s">
        <v>667</v>
      </c>
      <c r="C13" s="28" t="s">
        <v>731</v>
      </c>
      <c r="D13" s="28" t="n">
        <v>2011</v>
      </c>
      <c r="E13" s="31" t="s">
        <v>720</v>
      </c>
      <c r="F13" s="31" t="s">
        <v>721</v>
      </c>
    </row>
    <row r="14" customFormat="false" ht="30" hidden="false" customHeight="true" outlineLevel="0" collapsed="false">
      <c r="A14" s="26" t="s">
        <v>120</v>
      </c>
      <c r="B14" s="30" t="s">
        <v>668</v>
      </c>
      <c r="C14" s="26" t="s">
        <v>731</v>
      </c>
      <c r="D14" s="26" t="n">
        <v>2010</v>
      </c>
      <c r="E14" s="30" t="s">
        <v>732</v>
      </c>
      <c r="F14" s="30" t="s">
        <v>733</v>
      </c>
    </row>
    <row r="15" customFormat="false" ht="30" hidden="false" customHeight="true" outlineLevel="0" collapsed="false">
      <c r="A15" s="28" t="s">
        <v>120</v>
      </c>
      <c r="B15" s="31" t="s">
        <v>669</v>
      </c>
      <c r="C15" s="28" t="s">
        <v>731</v>
      </c>
      <c r="D15" s="28" t="n">
        <v>2004</v>
      </c>
      <c r="E15" s="31" t="s">
        <v>734</v>
      </c>
      <c r="F15" s="31" t="s">
        <v>735</v>
      </c>
    </row>
    <row r="16" customFormat="false" ht="30" hidden="false" customHeight="true" outlineLevel="0" collapsed="false">
      <c r="A16" s="26" t="s">
        <v>120</v>
      </c>
      <c r="B16" s="30" t="s">
        <v>670</v>
      </c>
      <c r="C16" s="26" t="s">
        <v>736</v>
      </c>
      <c r="D16" s="26" t="n">
        <v>2011</v>
      </c>
      <c r="E16" s="30" t="s">
        <v>737</v>
      </c>
      <c r="F16" s="30" t="s">
        <v>738</v>
      </c>
    </row>
    <row r="17" customFormat="false" ht="30" hidden="false" customHeight="true" outlineLevel="0" collapsed="false">
      <c r="A17" s="28" t="s">
        <v>120</v>
      </c>
      <c r="B17" s="31" t="s">
        <v>671</v>
      </c>
      <c r="C17" s="28" t="s">
        <v>736</v>
      </c>
      <c r="D17" s="28" t="n">
        <v>2011</v>
      </c>
      <c r="E17" s="31" t="s">
        <v>739</v>
      </c>
      <c r="F17" s="31" t="s">
        <v>740</v>
      </c>
    </row>
    <row r="18" customFormat="false" ht="30" hidden="false" customHeight="true" outlineLevel="0" collapsed="false">
      <c r="A18" s="26" t="s">
        <v>120</v>
      </c>
      <c r="B18" s="30" t="s">
        <v>672</v>
      </c>
      <c r="C18" s="26" t="s">
        <v>736</v>
      </c>
      <c r="D18" s="26" t="n">
        <v>2011</v>
      </c>
      <c r="E18" s="30" t="s">
        <v>741</v>
      </c>
      <c r="F18" s="30" t="s">
        <v>742</v>
      </c>
    </row>
    <row r="19" customFormat="false" ht="30" hidden="false" customHeight="true" outlineLevel="0" collapsed="false">
      <c r="A19" s="28" t="s">
        <v>120</v>
      </c>
      <c r="B19" s="31" t="s">
        <v>673</v>
      </c>
      <c r="C19" s="28" t="s">
        <v>736</v>
      </c>
      <c r="D19" s="28" t="n">
        <v>2012</v>
      </c>
      <c r="E19" s="31" t="s">
        <v>743</v>
      </c>
      <c r="F19" s="31" t="s">
        <v>744</v>
      </c>
    </row>
    <row r="20" customFormat="false" ht="30" hidden="false" customHeight="true" outlineLevel="0" collapsed="false">
      <c r="A20" s="26" t="s">
        <v>120</v>
      </c>
      <c r="B20" s="30" t="s">
        <v>674</v>
      </c>
      <c r="C20" s="26" t="s">
        <v>736</v>
      </c>
      <c r="D20" s="26" t="n">
        <v>2012</v>
      </c>
      <c r="E20" s="30" t="s">
        <v>745</v>
      </c>
      <c r="F20" s="30" t="s">
        <v>746</v>
      </c>
    </row>
    <row r="21" customFormat="false" ht="30" hidden="false" customHeight="true" outlineLevel="0" collapsed="false">
      <c r="A21" s="28" t="s">
        <v>120</v>
      </c>
      <c r="B21" s="31" t="s">
        <v>675</v>
      </c>
      <c r="C21" s="28" t="s">
        <v>736</v>
      </c>
      <c r="D21" s="28"/>
      <c r="E21" s="31" t="s">
        <v>747</v>
      </c>
      <c r="F21" s="31" t="s">
        <v>721</v>
      </c>
    </row>
    <row r="22" customFormat="false" ht="30" hidden="false" customHeight="true" outlineLevel="0" collapsed="false">
      <c r="A22" s="26" t="s">
        <v>121</v>
      </c>
      <c r="B22" s="30" t="s">
        <v>676</v>
      </c>
      <c r="C22" s="26" t="s">
        <v>715</v>
      </c>
      <c r="D22" s="26" t="n">
        <v>2010</v>
      </c>
      <c r="E22" s="30" t="s">
        <v>748</v>
      </c>
      <c r="F22" s="30" t="s">
        <v>749</v>
      </c>
    </row>
    <row r="23" customFormat="false" ht="30" hidden="false" customHeight="true" outlineLevel="0" collapsed="false">
      <c r="A23" s="28" t="s">
        <v>121</v>
      </c>
      <c r="B23" s="31" t="s">
        <v>677</v>
      </c>
      <c r="C23" s="28" t="s">
        <v>715</v>
      </c>
      <c r="D23" s="28" t="n">
        <v>2010</v>
      </c>
      <c r="E23" s="31" t="s">
        <v>750</v>
      </c>
      <c r="F23" s="31" t="s">
        <v>751</v>
      </c>
    </row>
    <row r="24" customFormat="false" ht="30" hidden="false" customHeight="true" outlineLevel="0" collapsed="false">
      <c r="A24" s="26" t="s">
        <v>121</v>
      </c>
      <c r="B24" s="30" t="s">
        <v>678</v>
      </c>
      <c r="C24" s="26" t="s">
        <v>715</v>
      </c>
      <c r="D24" s="26" t="n">
        <v>2010</v>
      </c>
      <c r="E24" s="30" t="s">
        <v>752</v>
      </c>
      <c r="F24" s="30" t="s">
        <v>753</v>
      </c>
    </row>
    <row r="25" customFormat="false" ht="30" hidden="false" customHeight="true" outlineLevel="0" collapsed="false">
      <c r="A25" s="28" t="s">
        <v>121</v>
      </c>
      <c r="B25" s="31" t="s">
        <v>679</v>
      </c>
      <c r="C25" s="28" t="s">
        <v>715</v>
      </c>
      <c r="D25" s="28" t="n">
        <v>2010</v>
      </c>
      <c r="E25" s="31" t="s">
        <v>752</v>
      </c>
      <c r="F25" s="31" t="s">
        <v>753</v>
      </c>
    </row>
    <row r="26" customFormat="false" ht="30" hidden="false" customHeight="true" outlineLevel="0" collapsed="false">
      <c r="A26" s="26" t="s">
        <v>121</v>
      </c>
      <c r="B26" s="30" t="s">
        <v>680</v>
      </c>
      <c r="C26" s="26" t="s">
        <v>46</v>
      </c>
      <c r="D26" s="26" t="n">
        <v>2010</v>
      </c>
      <c r="E26" s="30" t="s">
        <v>754</v>
      </c>
      <c r="F26" s="30" t="s">
        <v>755</v>
      </c>
    </row>
    <row r="27" customFormat="false" ht="30" hidden="false" customHeight="true" outlineLevel="0" collapsed="false">
      <c r="A27" s="28" t="s">
        <v>121</v>
      </c>
      <c r="B27" s="31" t="s">
        <v>681</v>
      </c>
      <c r="C27" s="28" t="s">
        <v>715</v>
      </c>
      <c r="D27" s="28" t="n">
        <v>2010</v>
      </c>
      <c r="E27" s="31" t="s">
        <v>756</v>
      </c>
      <c r="F27" s="31" t="s">
        <v>757</v>
      </c>
    </row>
    <row r="28" customFormat="false" ht="30" hidden="false" customHeight="true" outlineLevel="0" collapsed="false">
      <c r="A28" s="26" t="s">
        <v>121</v>
      </c>
      <c r="B28" s="30" t="s">
        <v>682</v>
      </c>
      <c r="C28" s="26" t="s">
        <v>731</v>
      </c>
      <c r="D28" s="26" t="n">
        <v>2010</v>
      </c>
      <c r="E28" s="30" t="s">
        <v>750</v>
      </c>
      <c r="F28" s="30" t="s">
        <v>751</v>
      </c>
    </row>
    <row r="29" customFormat="false" ht="30" hidden="false" customHeight="true" outlineLevel="0" collapsed="false">
      <c r="A29" s="28" t="s">
        <v>121</v>
      </c>
      <c r="B29" s="31" t="s">
        <v>683</v>
      </c>
      <c r="C29" s="28" t="s">
        <v>731</v>
      </c>
      <c r="D29" s="28" t="n">
        <v>2008</v>
      </c>
      <c r="E29" s="31" t="s">
        <v>758</v>
      </c>
      <c r="F29" s="31" t="s">
        <v>759</v>
      </c>
    </row>
    <row r="30" customFormat="false" ht="30" hidden="false" customHeight="true" outlineLevel="0" collapsed="false">
      <c r="A30" s="26" t="s">
        <v>121</v>
      </c>
      <c r="B30" s="30" t="s">
        <v>684</v>
      </c>
      <c r="C30" s="26" t="s">
        <v>731</v>
      </c>
      <c r="D30" s="26" t="n">
        <v>2010</v>
      </c>
      <c r="E30" s="30" t="s">
        <v>752</v>
      </c>
      <c r="F30" s="30" t="s">
        <v>753</v>
      </c>
    </row>
    <row r="31" customFormat="false" ht="30" hidden="false" customHeight="true" outlineLevel="0" collapsed="false">
      <c r="A31" s="28" t="s">
        <v>121</v>
      </c>
      <c r="B31" s="31" t="s">
        <v>685</v>
      </c>
      <c r="C31" s="28" t="s">
        <v>736</v>
      </c>
      <c r="D31" s="28" t="n">
        <v>2008</v>
      </c>
      <c r="E31" s="31" t="s">
        <v>760</v>
      </c>
      <c r="F31" s="31" t="s">
        <v>721</v>
      </c>
    </row>
    <row r="32" customFormat="false" ht="30" hidden="false" customHeight="true" outlineLevel="0" collapsed="false">
      <c r="A32" s="26" t="s">
        <v>121</v>
      </c>
      <c r="B32" s="30" t="s">
        <v>686</v>
      </c>
      <c r="C32" s="26" t="s">
        <v>736</v>
      </c>
      <c r="D32" s="26" t="n">
        <v>2011</v>
      </c>
      <c r="E32" s="30" t="s">
        <v>761</v>
      </c>
      <c r="F32" s="30" t="s">
        <v>721</v>
      </c>
    </row>
    <row r="33" customFormat="false" ht="30" hidden="false" customHeight="true" outlineLevel="0" collapsed="false">
      <c r="A33" s="28" t="s">
        <v>121</v>
      </c>
      <c r="B33" s="31" t="s">
        <v>687</v>
      </c>
      <c r="C33" s="28" t="s">
        <v>736</v>
      </c>
      <c r="D33" s="28" t="n">
        <v>2011</v>
      </c>
      <c r="E33" s="31" t="s">
        <v>762</v>
      </c>
      <c r="F33" s="31" t="s">
        <v>763</v>
      </c>
    </row>
    <row r="34" customFormat="false" ht="30" hidden="false" customHeight="true" outlineLevel="0" collapsed="false">
      <c r="A34" s="26" t="s">
        <v>122</v>
      </c>
      <c r="B34" s="30" t="s">
        <v>688</v>
      </c>
      <c r="C34" s="26" t="s">
        <v>46</v>
      </c>
      <c r="D34" s="26" t="n">
        <v>2011</v>
      </c>
      <c r="E34" s="30" t="s">
        <v>764</v>
      </c>
      <c r="F34" s="30" t="s">
        <v>765</v>
      </c>
    </row>
    <row r="35" customFormat="false" ht="30" hidden="false" customHeight="true" outlineLevel="0" collapsed="false">
      <c r="A35" s="28" t="s">
        <v>122</v>
      </c>
      <c r="B35" s="31" t="s">
        <v>689</v>
      </c>
      <c r="C35" s="28" t="s">
        <v>715</v>
      </c>
      <c r="D35" s="28" t="n">
        <v>2009</v>
      </c>
      <c r="E35" s="31" t="s">
        <v>766</v>
      </c>
      <c r="F35" s="31" t="s">
        <v>767</v>
      </c>
    </row>
    <row r="36" customFormat="false" ht="30" hidden="false" customHeight="true" outlineLevel="0" collapsed="false">
      <c r="A36" s="26" t="s">
        <v>122</v>
      </c>
      <c r="B36" s="30" t="s">
        <v>690</v>
      </c>
      <c r="C36" s="26" t="s">
        <v>715</v>
      </c>
      <c r="D36" s="26" t="n">
        <v>2010</v>
      </c>
      <c r="E36" s="30" t="s">
        <v>752</v>
      </c>
      <c r="F36" s="30" t="s">
        <v>753</v>
      </c>
    </row>
    <row r="37" customFormat="false" ht="30" hidden="false" customHeight="true" outlineLevel="0" collapsed="false">
      <c r="A37" s="28" t="s">
        <v>122</v>
      </c>
      <c r="B37" s="31" t="s">
        <v>691</v>
      </c>
      <c r="C37" s="28" t="s">
        <v>731</v>
      </c>
      <c r="D37" s="28" t="n">
        <v>2010</v>
      </c>
      <c r="E37" s="31" t="s">
        <v>768</v>
      </c>
      <c r="F37" s="31" t="s">
        <v>769</v>
      </c>
    </row>
    <row r="38" customFormat="false" ht="30" hidden="false" customHeight="true" outlineLevel="0" collapsed="false">
      <c r="A38" s="26" t="s">
        <v>122</v>
      </c>
      <c r="B38" s="30" t="s">
        <v>692</v>
      </c>
      <c r="C38" s="26" t="s">
        <v>731</v>
      </c>
      <c r="D38" s="26" t="n">
        <v>2010</v>
      </c>
      <c r="E38" s="30" t="s">
        <v>768</v>
      </c>
      <c r="F38" s="30" t="s">
        <v>769</v>
      </c>
    </row>
    <row r="39" customFormat="false" ht="30" hidden="false" customHeight="true" outlineLevel="0" collapsed="false">
      <c r="A39" s="28" t="s">
        <v>122</v>
      </c>
      <c r="B39" s="31" t="s">
        <v>693</v>
      </c>
      <c r="C39" s="28" t="s">
        <v>731</v>
      </c>
      <c r="D39" s="28" t="n">
        <v>2010</v>
      </c>
      <c r="E39" s="31" t="s">
        <v>768</v>
      </c>
      <c r="F39" s="31" t="s">
        <v>769</v>
      </c>
    </row>
    <row r="40" customFormat="false" ht="30" hidden="false" customHeight="true" outlineLevel="0" collapsed="false">
      <c r="A40" s="26" t="s">
        <v>122</v>
      </c>
      <c r="B40" s="30" t="s">
        <v>694</v>
      </c>
      <c r="C40" s="26" t="s">
        <v>731</v>
      </c>
      <c r="D40" s="26" t="n">
        <v>2011</v>
      </c>
      <c r="E40" s="30" t="s">
        <v>770</v>
      </c>
      <c r="F40" s="30" t="s">
        <v>771</v>
      </c>
    </row>
    <row r="41" customFormat="false" ht="30" hidden="false" customHeight="true" outlineLevel="0" collapsed="false">
      <c r="A41" s="28" t="s">
        <v>122</v>
      </c>
      <c r="B41" s="31" t="s">
        <v>695</v>
      </c>
      <c r="C41" s="28" t="s">
        <v>736</v>
      </c>
      <c r="D41" s="28" t="n">
        <v>2011</v>
      </c>
      <c r="E41" s="31" t="s">
        <v>762</v>
      </c>
      <c r="F41" s="31" t="s">
        <v>763</v>
      </c>
    </row>
    <row r="42" customFormat="false" ht="30" hidden="false" customHeight="true" outlineLevel="0" collapsed="false">
      <c r="A42" s="26" t="s">
        <v>122</v>
      </c>
      <c r="B42" s="30" t="s">
        <v>696</v>
      </c>
      <c r="C42" s="26" t="s">
        <v>736</v>
      </c>
      <c r="D42" s="26" t="n">
        <v>2009</v>
      </c>
      <c r="E42" s="30" t="s">
        <v>772</v>
      </c>
      <c r="F42" s="30" t="s">
        <v>773</v>
      </c>
    </row>
    <row r="43" customFormat="false" ht="30" hidden="false" customHeight="true" outlineLevel="0" collapsed="false">
      <c r="A43" s="28" t="s">
        <v>123</v>
      </c>
      <c r="B43" s="31" t="s">
        <v>697</v>
      </c>
      <c r="C43" s="28" t="s">
        <v>731</v>
      </c>
      <c r="D43" s="28" t="n">
        <v>2011</v>
      </c>
      <c r="E43" s="31" t="s">
        <v>774</v>
      </c>
      <c r="F43" s="31" t="s">
        <v>721</v>
      </c>
    </row>
    <row r="44" customFormat="false" ht="30" hidden="false" customHeight="true" outlineLevel="0" collapsed="false">
      <c r="A44" s="26" t="s">
        <v>123</v>
      </c>
      <c r="B44" s="30" t="s">
        <v>698</v>
      </c>
      <c r="C44" s="26" t="s">
        <v>731</v>
      </c>
      <c r="D44" s="26" t="n">
        <v>2011</v>
      </c>
      <c r="E44" s="30" t="s">
        <v>774</v>
      </c>
      <c r="F44" s="30" t="s">
        <v>721</v>
      </c>
    </row>
    <row r="45" customFormat="false" ht="30" hidden="false" customHeight="true" outlineLevel="0" collapsed="false">
      <c r="A45" s="28" t="s">
        <v>123</v>
      </c>
      <c r="B45" s="31" t="s">
        <v>699</v>
      </c>
      <c r="C45" s="28" t="s">
        <v>731</v>
      </c>
      <c r="D45" s="28" t="n">
        <v>2011</v>
      </c>
      <c r="E45" s="31" t="s">
        <v>775</v>
      </c>
      <c r="F45" s="31" t="s">
        <v>776</v>
      </c>
    </row>
    <row r="46" customFormat="false" ht="30" hidden="false" customHeight="true" outlineLevel="0" collapsed="false">
      <c r="A46" s="26" t="s">
        <v>123</v>
      </c>
      <c r="B46" s="30" t="s">
        <v>700</v>
      </c>
      <c r="C46" s="26" t="s">
        <v>731</v>
      </c>
      <c r="D46" s="26" t="s">
        <v>777</v>
      </c>
      <c r="E46" s="30" t="s">
        <v>778</v>
      </c>
      <c r="F46" s="30" t="s">
        <v>779</v>
      </c>
    </row>
    <row r="47" customFormat="false" ht="30" hidden="false" customHeight="true" outlineLevel="0" collapsed="false">
      <c r="A47" s="28" t="s">
        <v>123</v>
      </c>
      <c r="B47" s="31" t="s">
        <v>701</v>
      </c>
      <c r="C47" s="28" t="s">
        <v>731</v>
      </c>
      <c r="D47" s="28" t="s">
        <v>777</v>
      </c>
      <c r="E47" s="31" t="s">
        <v>778</v>
      </c>
      <c r="F47" s="31" t="s">
        <v>779</v>
      </c>
    </row>
    <row r="48" customFormat="false" ht="30" hidden="false" customHeight="true" outlineLevel="0" collapsed="false">
      <c r="A48" s="26" t="s">
        <v>123</v>
      </c>
      <c r="B48" s="30" t="s">
        <v>702</v>
      </c>
      <c r="C48" s="26" t="s">
        <v>736</v>
      </c>
      <c r="D48" s="26" t="n">
        <v>2011</v>
      </c>
      <c r="E48" s="30" t="s">
        <v>780</v>
      </c>
      <c r="F48" s="30" t="s">
        <v>781</v>
      </c>
    </row>
    <row r="49" customFormat="false" ht="30" hidden="false" customHeight="true" outlineLevel="0" collapsed="false">
      <c r="A49" s="28" t="s">
        <v>124</v>
      </c>
      <c r="B49" s="31" t="s">
        <v>703</v>
      </c>
      <c r="C49" s="28" t="s">
        <v>736</v>
      </c>
      <c r="D49" s="28" t="n">
        <v>2011</v>
      </c>
      <c r="E49" s="31" t="s">
        <v>782</v>
      </c>
      <c r="F49" s="31" t="s">
        <v>783</v>
      </c>
    </row>
    <row r="50" customFormat="false" ht="30" hidden="false" customHeight="true" outlineLevel="0" collapsed="false">
      <c r="A50" s="26" t="s">
        <v>124</v>
      </c>
      <c r="B50" s="30" t="s">
        <v>704</v>
      </c>
      <c r="C50" s="26" t="s">
        <v>736</v>
      </c>
      <c r="D50" s="26" t="n">
        <v>2011</v>
      </c>
      <c r="E50" s="30" t="s">
        <v>780</v>
      </c>
      <c r="F50" s="30" t="s">
        <v>781</v>
      </c>
    </row>
    <row r="51" customFormat="false" ht="30" hidden="false" customHeight="true" outlineLevel="0" collapsed="false">
      <c r="A51" s="28" t="s">
        <v>124</v>
      </c>
      <c r="B51" s="31" t="s">
        <v>705</v>
      </c>
      <c r="C51" s="28" t="s">
        <v>736</v>
      </c>
      <c r="D51" s="28" t="s">
        <v>784</v>
      </c>
      <c r="E51" s="31" t="s">
        <v>780</v>
      </c>
      <c r="F51" s="31" t="s">
        <v>781</v>
      </c>
    </row>
    <row r="52" customFormat="false" ht="30" hidden="false" customHeight="true" outlineLevel="0" collapsed="false">
      <c r="A52" s="26" t="s">
        <v>124</v>
      </c>
      <c r="B52" s="30" t="s">
        <v>706</v>
      </c>
      <c r="C52" s="26" t="s">
        <v>736</v>
      </c>
      <c r="D52" s="26" t="n">
        <v>2011</v>
      </c>
      <c r="E52" s="30" t="s">
        <v>785</v>
      </c>
      <c r="F52" s="30" t="s">
        <v>786</v>
      </c>
    </row>
    <row r="53" customFormat="false" ht="30" hidden="false" customHeight="true" outlineLevel="0" collapsed="false">
      <c r="A53" s="28" t="s">
        <v>124</v>
      </c>
      <c r="B53" s="31" t="s">
        <v>707</v>
      </c>
      <c r="C53" s="28" t="s">
        <v>736</v>
      </c>
      <c r="D53" s="28" t="s">
        <v>787</v>
      </c>
      <c r="E53" s="31" t="s">
        <v>788</v>
      </c>
      <c r="F53" s="31" t="s">
        <v>789</v>
      </c>
    </row>
    <row r="55" customFormat="false" ht="30" hidden="false" customHeight="true" outlineLevel="0" collapsed="false">
      <c r="A55" s="34" t="s">
        <v>790</v>
      </c>
      <c r="B55" s="34"/>
      <c r="C55" s="34"/>
      <c r="D55" s="34"/>
      <c r="E55" s="34"/>
      <c r="F55" s="34"/>
    </row>
  </sheetData>
  <mergeCells count="3">
    <mergeCell ref="A1:F1"/>
    <mergeCell ref="A2:F2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11" min="3" style="1" width="14"/>
    <col collapsed="false" customWidth="true" hidden="false" outlineLevel="0" max="26" min="12" style="1" width="16"/>
  </cols>
  <sheetData>
    <row r="1" customFormat="false" ht="33.75" hidden="false" customHeight="true" outlineLevel="0" collapsed="false">
      <c r="A1" s="5" t="s">
        <v>575</v>
      </c>
      <c r="B1" s="5" t="s">
        <v>576</v>
      </c>
      <c r="C1" s="5" t="s">
        <v>791</v>
      </c>
      <c r="D1" s="5" t="s">
        <v>792</v>
      </c>
      <c r="E1" s="5" t="s">
        <v>793</v>
      </c>
      <c r="F1" s="69" t="s">
        <v>300</v>
      </c>
      <c r="G1" s="69" t="s">
        <v>794</v>
      </c>
      <c r="H1" s="69" t="s">
        <v>328</v>
      </c>
      <c r="I1" s="69" t="s">
        <v>305</v>
      </c>
      <c r="J1" s="69" t="s">
        <v>795</v>
      </c>
      <c r="K1" s="5" t="s">
        <v>796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31</v>
      </c>
      <c r="B2" s="68" t="s">
        <v>32</v>
      </c>
      <c r="C2" s="68" t="n">
        <v>2025</v>
      </c>
      <c r="D2" s="68" t="s">
        <v>797</v>
      </c>
      <c r="E2" s="68" t="s">
        <v>302</v>
      </c>
      <c r="F2" s="68" t="n">
        <v>11500</v>
      </c>
      <c r="G2" s="68" t="n">
        <v>24619</v>
      </c>
      <c r="H2" s="68" t="n">
        <v>118.44</v>
      </c>
      <c r="I2" s="68" t="n">
        <v>65.7</v>
      </c>
      <c r="J2" s="68" t="n">
        <v>2.57</v>
      </c>
      <c r="K2" s="68"/>
    </row>
    <row r="3" customFormat="false" ht="14.25" hidden="false" customHeight="true" outlineLevel="0" collapsed="false">
      <c r="A3" s="68" t="s">
        <v>27</v>
      </c>
      <c r="B3" s="68" t="s">
        <v>28</v>
      </c>
      <c r="C3" s="68" t="n">
        <v>2019</v>
      </c>
      <c r="D3" s="68" t="s">
        <v>798</v>
      </c>
      <c r="E3" s="68" t="s">
        <v>799</v>
      </c>
      <c r="F3" s="68" t="n">
        <v>5554</v>
      </c>
      <c r="G3" s="68" t="n">
        <v>13956</v>
      </c>
      <c r="H3" s="68" t="n">
        <v>108.35</v>
      </c>
      <c r="I3" s="68" t="n">
        <v>48.6</v>
      </c>
      <c r="J3" s="68" t="n">
        <v>2.14</v>
      </c>
      <c r="K3" s="68"/>
    </row>
    <row r="4" customFormat="false" ht="14.25" hidden="false" customHeight="true" outlineLevel="0" collapsed="false">
      <c r="A4" s="68" t="s">
        <v>27</v>
      </c>
      <c r="B4" s="68" t="s">
        <v>28</v>
      </c>
      <c r="C4" s="68" t="n">
        <v>2023</v>
      </c>
      <c r="D4" s="68" t="s">
        <v>798</v>
      </c>
      <c r="E4" s="68" t="s">
        <v>800</v>
      </c>
      <c r="F4" s="68" t="n">
        <v>6402</v>
      </c>
      <c r="G4" s="68" t="n">
        <v>15949</v>
      </c>
      <c r="H4" s="68" t="n">
        <v>124.94</v>
      </c>
      <c r="I4" s="68" t="n">
        <v>50.2</v>
      </c>
      <c r="J4" s="68" t="n">
        <v>2.36</v>
      </c>
      <c r="K4" s="68"/>
    </row>
    <row r="5" customFormat="false" ht="14.25" hidden="false" customHeight="true" outlineLevel="0" collapsed="false">
      <c r="A5" s="68" t="s">
        <v>57</v>
      </c>
      <c r="B5" s="68" t="s">
        <v>58</v>
      </c>
      <c r="C5" s="68" t="n">
        <v>2023</v>
      </c>
      <c r="D5" s="68" t="s">
        <v>801</v>
      </c>
      <c r="E5" s="68" t="s">
        <v>802</v>
      </c>
      <c r="F5" s="68" t="n">
        <v>8485</v>
      </c>
      <c r="G5" s="68" t="n">
        <v>19134</v>
      </c>
      <c r="H5" s="68" t="n">
        <v>108.46</v>
      </c>
      <c r="I5" s="68" t="n">
        <v>53</v>
      </c>
      <c r="J5" s="68" t="n">
        <v>2.43</v>
      </c>
      <c r="K5" s="68"/>
    </row>
    <row r="6" customFormat="false" ht="14.25" hidden="false" customHeight="true" outlineLevel="0" collapsed="false">
      <c r="A6" s="68" t="s">
        <v>31</v>
      </c>
      <c r="B6" s="68" t="s">
        <v>32</v>
      </c>
      <c r="C6" s="68" t="n">
        <v>2019</v>
      </c>
      <c r="D6" s="68" t="s">
        <v>798</v>
      </c>
      <c r="E6" s="68" t="s">
        <v>799</v>
      </c>
      <c r="F6" s="68" t="n">
        <v>3872</v>
      </c>
      <c r="G6" s="68" t="n">
        <v>11476</v>
      </c>
      <c r="H6" s="68" t="n">
        <v>107.79</v>
      </c>
      <c r="I6" s="68" t="n">
        <v>53.3</v>
      </c>
      <c r="J6" s="68" t="n">
        <v>2.09</v>
      </c>
      <c r="K6" s="68"/>
    </row>
    <row r="7" customFormat="false" ht="14.25" hidden="false" customHeight="true" outlineLevel="0" collapsed="false">
      <c r="A7" s="68" t="s">
        <v>42</v>
      </c>
      <c r="B7" s="68" t="s">
        <v>43</v>
      </c>
      <c r="C7" s="68" t="n">
        <v>2019</v>
      </c>
      <c r="D7" s="68" t="s">
        <v>798</v>
      </c>
      <c r="E7" s="68" t="s">
        <v>799</v>
      </c>
      <c r="F7" s="68" t="n">
        <v>17467</v>
      </c>
      <c r="G7" s="68" t="n">
        <v>41466</v>
      </c>
      <c r="H7" s="68" t="n">
        <v>133.11</v>
      </c>
      <c r="I7" s="68" t="n">
        <v>49.1</v>
      </c>
      <c r="J7" s="68" t="n">
        <v>2.09</v>
      </c>
      <c r="K7" s="68"/>
    </row>
    <row r="8" customFormat="false" ht="14.25" hidden="false" customHeight="true" outlineLevel="0" collapsed="false">
      <c r="A8" s="68" t="s">
        <v>35</v>
      </c>
      <c r="B8" s="68" t="s">
        <v>36</v>
      </c>
      <c r="C8" s="68" t="n">
        <v>2022</v>
      </c>
      <c r="D8" s="68" t="s">
        <v>801</v>
      </c>
      <c r="E8" s="68" t="s">
        <v>803</v>
      </c>
      <c r="F8" s="68" t="n">
        <v>7941</v>
      </c>
      <c r="G8" s="68" t="n">
        <v>21474</v>
      </c>
      <c r="H8" s="68" t="n">
        <v>120.81</v>
      </c>
      <c r="I8" s="68" t="n">
        <v>53.2</v>
      </c>
      <c r="J8" s="68" t="n">
        <v>2.41</v>
      </c>
      <c r="K8" s="68"/>
    </row>
    <row r="9" customFormat="false" ht="14.25" hidden="false" customHeight="true" outlineLevel="0" collapsed="false">
      <c r="A9" s="68" t="s">
        <v>50</v>
      </c>
      <c r="B9" s="68" t="s">
        <v>51</v>
      </c>
      <c r="C9" s="68" t="n">
        <v>2024</v>
      </c>
      <c r="D9" s="68" t="s">
        <v>801</v>
      </c>
      <c r="E9" s="68" t="s">
        <v>301</v>
      </c>
      <c r="F9" s="68" t="n">
        <v>9730</v>
      </c>
      <c r="G9" s="68" t="n">
        <v>19697</v>
      </c>
      <c r="H9" s="68" t="n">
        <v>164.03</v>
      </c>
      <c r="I9" s="68" t="n">
        <v>61.7</v>
      </c>
      <c r="J9" s="68" t="n">
        <v>2.53</v>
      </c>
      <c r="K9" s="68"/>
    </row>
    <row r="10" customFormat="false" ht="14.25" hidden="false" customHeight="true" outlineLevel="0" collapsed="false">
      <c r="A10" s="68" t="s">
        <v>57</v>
      </c>
      <c r="B10" s="68" t="s">
        <v>58</v>
      </c>
      <c r="C10" s="68" t="n">
        <v>2021</v>
      </c>
      <c r="D10" s="68" t="s">
        <v>797</v>
      </c>
      <c r="E10" s="68" t="s">
        <v>804</v>
      </c>
      <c r="F10" s="68" t="n">
        <v>885</v>
      </c>
      <c r="G10" s="68" t="n">
        <v>8764</v>
      </c>
      <c r="H10" s="68" t="n">
        <v>69.96</v>
      </c>
      <c r="I10" s="68" t="n">
        <v>35.4</v>
      </c>
      <c r="J10" s="68" t="n">
        <v>2.47</v>
      </c>
      <c r="K10" s="68"/>
    </row>
    <row r="11" customFormat="false" ht="14.25" hidden="false" customHeight="true" outlineLevel="0" collapsed="false">
      <c r="A11" s="68" t="s">
        <v>50</v>
      </c>
      <c r="B11" s="68" t="s">
        <v>51</v>
      </c>
      <c r="C11" s="68" t="n">
        <v>2021</v>
      </c>
      <c r="D11" s="68" t="s">
        <v>805</v>
      </c>
      <c r="E11" s="68" t="s">
        <v>806</v>
      </c>
      <c r="F11" s="68" t="n">
        <v>617</v>
      </c>
      <c r="G11" s="68" t="n">
        <v>5522</v>
      </c>
      <c r="H11" s="68" t="n">
        <v>95.43</v>
      </c>
      <c r="I11" s="68" t="n">
        <v>33.3</v>
      </c>
      <c r="J11" s="68" t="n">
        <v>2.31</v>
      </c>
      <c r="K11" s="68"/>
    </row>
    <row r="12" customFormat="false" ht="14.25" hidden="false" customHeight="true" outlineLevel="0" collapsed="false">
      <c r="A12" s="68" t="s">
        <v>64</v>
      </c>
      <c r="B12" s="68" t="s">
        <v>65</v>
      </c>
      <c r="C12" s="68" t="n">
        <v>2022</v>
      </c>
      <c r="D12" s="68" t="s">
        <v>798</v>
      </c>
      <c r="E12" s="68" t="s">
        <v>807</v>
      </c>
      <c r="F12" s="68" t="n">
        <v>994</v>
      </c>
      <c r="G12" s="68" t="n">
        <v>1696</v>
      </c>
      <c r="H12" s="68" t="n">
        <v>134.01</v>
      </c>
      <c r="I12" s="68" t="n">
        <v>34</v>
      </c>
      <c r="J12" s="68" t="n">
        <v>3.27</v>
      </c>
      <c r="K12" s="68"/>
    </row>
    <row r="13" customFormat="false" ht="14.25" hidden="false" customHeight="true" outlineLevel="0" collapsed="false">
      <c r="A13" s="68" t="s">
        <v>39</v>
      </c>
      <c r="B13" s="68" t="s">
        <v>40</v>
      </c>
      <c r="C13" s="68" t="n">
        <v>2024</v>
      </c>
      <c r="D13" s="68" t="s">
        <v>798</v>
      </c>
      <c r="E13" s="68" t="s">
        <v>808</v>
      </c>
      <c r="F13" s="68" t="n">
        <v>15158</v>
      </c>
      <c r="G13" s="68" t="n">
        <v>31425</v>
      </c>
      <c r="H13" s="68" t="n">
        <v>125.16</v>
      </c>
      <c r="I13" s="68" t="n">
        <v>48.5</v>
      </c>
      <c r="J13" s="68" t="n">
        <v>2.17</v>
      </c>
      <c r="K13" s="68"/>
    </row>
    <row r="14" customFormat="false" ht="14.25" hidden="false" customHeight="true" outlineLevel="0" collapsed="false">
      <c r="A14" s="68" t="s">
        <v>16</v>
      </c>
      <c r="B14" s="68" t="s">
        <v>17</v>
      </c>
      <c r="C14" s="68" t="n">
        <v>2023</v>
      </c>
      <c r="D14" s="68" t="s">
        <v>805</v>
      </c>
      <c r="E14" s="68" t="s">
        <v>809</v>
      </c>
      <c r="F14" s="68" t="n">
        <v>5573</v>
      </c>
      <c r="G14" s="68" t="n">
        <v>12816</v>
      </c>
      <c r="H14" s="68" t="n">
        <v>117</v>
      </c>
      <c r="I14" s="68" t="n">
        <v>50.8</v>
      </c>
      <c r="J14" s="68" t="n">
        <v>2.4</v>
      </c>
      <c r="K14" s="68"/>
    </row>
    <row r="15" customFormat="false" ht="14.25" hidden="false" customHeight="true" outlineLevel="0" collapsed="false">
      <c r="A15" s="68" t="s">
        <v>16</v>
      </c>
      <c r="B15" s="68" t="s">
        <v>17</v>
      </c>
      <c r="C15" s="68" t="n">
        <v>2023</v>
      </c>
      <c r="D15" s="68" t="s">
        <v>798</v>
      </c>
      <c r="E15" s="68" t="s">
        <v>800</v>
      </c>
      <c r="F15" s="68" t="n">
        <v>4962</v>
      </c>
      <c r="G15" s="68" t="n">
        <v>9757</v>
      </c>
      <c r="H15" s="68" t="n">
        <v>105.66</v>
      </c>
      <c r="I15" s="68" t="n">
        <v>51.5</v>
      </c>
      <c r="J15" s="68" t="n">
        <v>2.18</v>
      </c>
      <c r="K15" s="68"/>
    </row>
    <row r="16" customFormat="false" ht="14.25" hidden="false" customHeight="true" outlineLevel="0" collapsed="false">
      <c r="A16" s="68" t="s">
        <v>35</v>
      </c>
      <c r="B16" s="68" t="s">
        <v>36</v>
      </c>
      <c r="C16" s="68" t="n">
        <v>2025</v>
      </c>
      <c r="D16" s="68" t="s">
        <v>798</v>
      </c>
      <c r="E16" s="68" t="s">
        <v>304</v>
      </c>
      <c r="F16" s="68" t="n">
        <v>6981</v>
      </c>
      <c r="G16" s="68" t="n">
        <v>16772</v>
      </c>
      <c r="H16" s="68" t="n">
        <v>131.4</v>
      </c>
      <c r="I16" s="68" t="n">
        <v>43.4</v>
      </c>
      <c r="J16" s="68" t="n">
        <v>2.21</v>
      </c>
      <c r="K16" s="68"/>
    </row>
    <row r="17" customFormat="false" ht="14.25" hidden="false" customHeight="true" outlineLevel="0" collapsed="false">
      <c r="A17" s="68" t="s">
        <v>27</v>
      </c>
      <c r="B17" s="68" t="s">
        <v>28</v>
      </c>
      <c r="C17" s="68" t="n">
        <v>2023</v>
      </c>
      <c r="D17" s="68" t="s">
        <v>801</v>
      </c>
      <c r="E17" s="68" t="s">
        <v>802</v>
      </c>
      <c r="F17" s="68" t="n">
        <v>9221</v>
      </c>
      <c r="G17" s="68" t="n">
        <v>23034</v>
      </c>
      <c r="H17" s="68" t="n">
        <v>107.24</v>
      </c>
      <c r="I17" s="68" t="n">
        <v>58.9</v>
      </c>
      <c r="J17" s="68" t="n">
        <v>2.6</v>
      </c>
      <c r="K17" s="68"/>
    </row>
    <row r="18" customFormat="false" ht="14.25" hidden="false" customHeight="true" outlineLevel="0" collapsed="false">
      <c r="A18" s="68" t="s">
        <v>67</v>
      </c>
      <c r="B18" s="68" t="s">
        <v>68</v>
      </c>
      <c r="C18" s="68" t="n">
        <v>2023</v>
      </c>
      <c r="D18" s="68" t="s">
        <v>805</v>
      </c>
      <c r="E18" s="68" t="s">
        <v>809</v>
      </c>
      <c r="F18" s="68" t="n">
        <v>3326</v>
      </c>
      <c r="G18" s="68" t="n">
        <v>9588</v>
      </c>
      <c r="H18" s="68" t="n">
        <v>208.82</v>
      </c>
      <c r="I18" s="68" t="n">
        <v>42.6</v>
      </c>
      <c r="J18" s="68" t="n">
        <v>3.06</v>
      </c>
      <c r="K18" s="68"/>
    </row>
    <row r="19" customFormat="false" ht="14.25" hidden="false" customHeight="true" outlineLevel="0" collapsed="false">
      <c r="A19" s="68" t="s">
        <v>64</v>
      </c>
      <c r="B19" s="68" t="s">
        <v>65</v>
      </c>
      <c r="C19" s="68" t="n">
        <v>2023</v>
      </c>
      <c r="D19" s="68" t="s">
        <v>798</v>
      </c>
      <c r="E19" s="68" t="s">
        <v>800</v>
      </c>
      <c r="F19" s="68" t="n">
        <v>919</v>
      </c>
      <c r="G19" s="68" t="n">
        <v>2156</v>
      </c>
      <c r="H19" s="68" t="n">
        <v>155.2</v>
      </c>
      <c r="I19" s="68" t="n">
        <v>38.2</v>
      </c>
      <c r="J19" s="68" t="n">
        <v>3.24</v>
      </c>
      <c r="K19" s="68"/>
    </row>
    <row r="20" customFormat="false" ht="14.25" hidden="false" customHeight="true" outlineLevel="0" collapsed="false">
      <c r="A20" s="68" t="s">
        <v>53</v>
      </c>
      <c r="B20" s="68" t="s">
        <v>54</v>
      </c>
      <c r="C20" s="68" t="n">
        <v>2022</v>
      </c>
      <c r="D20" s="68" t="s">
        <v>798</v>
      </c>
      <c r="E20" s="68" t="s">
        <v>807</v>
      </c>
      <c r="F20" s="68" t="n">
        <v>6193</v>
      </c>
      <c r="G20" s="68" t="n">
        <v>15563</v>
      </c>
      <c r="H20" s="68" t="n">
        <v>113.04</v>
      </c>
      <c r="I20" s="68" t="n">
        <v>49.6</v>
      </c>
      <c r="J20" s="68" t="n">
        <v>2.36</v>
      </c>
      <c r="K20" s="68"/>
    </row>
    <row r="21" customFormat="false" ht="14.25" hidden="false" customHeight="true" outlineLevel="0" collapsed="false">
      <c r="A21" s="68" t="s">
        <v>22</v>
      </c>
      <c r="B21" s="68" t="s">
        <v>23</v>
      </c>
      <c r="C21" s="68" t="n">
        <v>2024</v>
      </c>
      <c r="D21" s="68" t="s">
        <v>801</v>
      </c>
      <c r="E21" s="68" t="s">
        <v>301</v>
      </c>
      <c r="F21" s="68" t="n">
        <v>6643</v>
      </c>
      <c r="G21" s="68" t="n">
        <v>16796</v>
      </c>
      <c r="H21" s="68" t="n">
        <v>107.37</v>
      </c>
      <c r="I21" s="68" t="n">
        <v>59.2</v>
      </c>
      <c r="J21" s="68" t="n">
        <v>2.35</v>
      </c>
      <c r="K21" s="68"/>
    </row>
    <row r="22" customFormat="false" ht="14.25" hidden="false" customHeight="true" outlineLevel="0" collapsed="false">
      <c r="A22" s="68" t="s">
        <v>61</v>
      </c>
      <c r="B22" s="68" t="s">
        <v>62</v>
      </c>
      <c r="C22" s="68" t="n">
        <v>2020</v>
      </c>
      <c r="D22" s="68" t="s">
        <v>801</v>
      </c>
      <c r="E22" s="68" t="s">
        <v>810</v>
      </c>
      <c r="F22" s="68" t="n">
        <v>829</v>
      </c>
      <c r="G22" s="68" t="n">
        <v>14462</v>
      </c>
      <c r="H22" s="68" t="n">
        <v>74.6</v>
      </c>
      <c r="I22" s="68" t="n">
        <v>31.7</v>
      </c>
      <c r="J22" s="68" t="n">
        <v>2.18</v>
      </c>
      <c r="K22" s="68"/>
    </row>
    <row r="23" customFormat="false" ht="14.25" hidden="false" customHeight="true" outlineLevel="0" collapsed="false">
      <c r="A23" s="68" t="s">
        <v>39</v>
      </c>
      <c r="B23" s="68" t="s">
        <v>40</v>
      </c>
      <c r="C23" s="68" t="n">
        <v>2024</v>
      </c>
      <c r="D23" s="68" t="s">
        <v>801</v>
      </c>
      <c r="E23" s="68" t="s">
        <v>301</v>
      </c>
      <c r="F23" s="68" t="n">
        <v>23427</v>
      </c>
      <c r="G23" s="68" t="n">
        <v>55056</v>
      </c>
      <c r="H23" s="68" t="n">
        <v>129.24</v>
      </c>
      <c r="I23" s="68" t="n">
        <v>62.8</v>
      </c>
      <c r="J23" s="68" t="n">
        <v>2.34</v>
      </c>
      <c r="K23" s="68"/>
    </row>
    <row r="24" customFormat="false" ht="14.25" hidden="false" customHeight="true" outlineLevel="0" collapsed="false">
      <c r="A24" s="68" t="s">
        <v>61</v>
      </c>
      <c r="B24" s="68" t="s">
        <v>62</v>
      </c>
      <c r="C24" s="68" t="n">
        <v>2024</v>
      </c>
      <c r="D24" s="68" t="s">
        <v>805</v>
      </c>
      <c r="E24" s="68" t="s">
        <v>811</v>
      </c>
      <c r="F24" s="68" t="n">
        <v>18845</v>
      </c>
      <c r="G24" s="68" t="n">
        <v>30851</v>
      </c>
      <c r="H24" s="68" t="n">
        <v>137.34</v>
      </c>
      <c r="I24" s="68" t="n">
        <v>55.7</v>
      </c>
      <c r="J24" s="68" t="n">
        <v>2.57</v>
      </c>
      <c r="K24" s="68"/>
    </row>
    <row r="25" customFormat="false" ht="14.25" hidden="false" customHeight="true" outlineLevel="0" collapsed="false">
      <c r="A25" s="68" t="s">
        <v>50</v>
      </c>
      <c r="B25" s="68" t="s">
        <v>51</v>
      </c>
      <c r="C25" s="68" t="n">
        <v>2021</v>
      </c>
      <c r="D25" s="68" t="s">
        <v>801</v>
      </c>
      <c r="E25" s="68" t="s">
        <v>812</v>
      </c>
      <c r="F25" s="68" t="n">
        <v>2343</v>
      </c>
      <c r="G25" s="68" t="n">
        <v>8969</v>
      </c>
      <c r="H25" s="68" t="n">
        <v>109.56</v>
      </c>
      <c r="I25" s="68" t="n">
        <v>43.1</v>
      </c>
      <c r="J25" s="68" t="n">
        <v>2.53</v>
      </c>
      <c r="K25" s="68"/>
    </row>
    <row r="26" customFormat="false" ht="14.25" hidden="false" customHeight="true" outlineLevel="0" collapsed="false">
      <c r="A26" s="68" t="s">
        <v>39</v>
      </c>
      <c r="B26" s="68" t="s">
        <v>40</v>
      </c>
      <c r="C26" s="68" t="n">
        <v>2025</v>
      </c>
      <c r="D26" s="68" t="s">
        <v>805</v>
      </c>
      <c r="E26" s="68" t="s">
        <v>303</v>
      </c>
      <c r="F26" s="68" t="n">
        <v>16967</v>
      </c>
      <c r="G26" s="68" t="n">
        <v>44851</v>
      </c>
      <c r="H26" s="68" t="n">
        <v>150.78</v>
      </c>
      <c r="I26" s="68" t="n">
        <v>56.7</v>
      </c>
      <c r="J26" s="68" t="n">
        <v>2.34</v>
      </c>
      <c r="K26" s="68"/>
    </row>
    <row r="27" customFormat="false" ht="14.25" hidden="false" customHeight="true" outlineLevel="0" collapsed="false">
      <c r="A27" s="68" t="s">
        <v>22</v>
      </c>
      <c r="B27" s="68" t="s">
        <v>23</v>
      </c>
      <c r="C27" s="68" t="n">
        <v>2020</v>
      </c>
      <c r="D27" s="68" t="s">
        <v>801</v>
      </c>
      <c r="E27" s="68" t="s">
        <v>810</v>
      </c>
      <c r="F27" s="68" t="n">
        <v>294</v>
      </c>
      <c r="G27" s="68" t="n">
        <v>5163</v>
      </c>
      <c r="H27" s="68" t="n">
        <v>67.82</v>
      </c>
      <c r="I27" s="68" t="n">
        <v>34.8</v>
      </c>
      <c r="J27" s="68" t="n">
        <v>2.48</v>
      </c>
      <c r="K27" s="68"/>
    </row>
    <row r="28" customFormat="false" ht="14.25" hidden="false" customHeight="true" outlineLevel="0" collapsed="false">
      <c r="A28" s="68" t="s">
        <v>53</v>
      </c>
      <c r="B28" s="68" t="s">
        <v>54</v>
      </c>
      <c r="C28" s="68" t="n">
        <v>2020</v>
      </c>
      <c r="D28" s="68" t="s">
        <v>797</v>
      </c>
      <c r="E28" s="68" t="s">
        <v>813</v>
      </c>
      <c r="F28" s="68" t="n">
        <v>5577</v>
      </c>
      <c r="G28" s="68" t="n">
        <v>20952</v>
      </c>
      <c r="H28" s="68" t="n">
        <v>95.29</v>
      </c>
      <c r="I28" s="68" t="n">
        <v>49</v>
      </c>
      <c r="J28" s="68" t="n">
        <v>2.43</v>
      </c>
      <c r="K28" s="68"/>
    </row>
    <row r="29" customFormat="false" ht="14.25" hidden="false" customHeight="true" outlineLevel="0" collapsed="false">
      <c r="A29" s="68" t="s">
        <v>42</v>
      </c>
      <c r="B29" s="68" t="s">
        <v>814</v>
      </c>
      <c r="C29" s="68" t="n">
        <v>2024</v>
      </c>
      <c r="D29" s="68" t="s">
        <v>805</v>
      </c>
      <c r="E29" s="68" t="s">
        <v>811</v>
      </c>
      <c r="F29" s="68" t="n">
        <v>31291</v>
      </c>
      <c r="G29" s="68" t="n">
        <v>66159</v>
      </c>
      <c r="H29" s="68" t="n">
        <v>166.38</v>
      </c>
      <c r="I29" s="68" t="n">
        <v>61</v>
      </c>
      <c r="J29" s="68" t="n">
        <v>2.29</v>
      </c>
      <c r="K29" s="68"/>
    </row>
    <row r="30" customFormat="false" ht="14.25" hidden="false" customHeight="true" outlineLevel="0" collapsed="false">
      <c r="A30" s="68" t="s">
        <v>61</v>
      </c>
      <c r="B30" s="68" t="s">
        <v>62</v>
      </c>
      <c r="C30" s="68" t="n">
        <v>2025</v>
      </c>
      <c r="D30" s="68" t="s">
        <v>798</v>
      </c>
      <c r="E30" s="68" t="s">
        <v>304</v>
      </c>
      <c r="F30" s="68" t="n">
        <v>13100</v>
      </c>
      <c r="G30" s="68" t="n">
        <v>27324</v>
      </c>
      <c r="H30" s="68" t="n">
        <v>135.67</v>
      </c>
      <c r="I30" s="68" t="n">
        <v>48.8</v>
      </c>
      <c r="J30" s="68" t="n">
        <v>2.22</v>
      </c>
      <c r="K30" s="68"/>
    </row>
    <row r="31" customFormat="false" ht="14.25" hidden="false" customHeight="true" outlineLevel="0" collapsed="false">
      <c r="A31" s="68" t="s">
        <v>61</v>
      </c>
      <c r="B31" s="68" t="s">
        <v>62</v>
      </c>
      <c r="C31" s="68" t="n">
        <v>2024</v>
      </c>
      <c r="D31" s="68" t="s">
        <v>798</v>
      </c>
      <c r="E31" s="68" t="s">
        <v>808</v>
      </c>
      <c r="F31" s="68" t="n">
        <v>13565</v>
      </c>
      <c r="G31" s="68" t="n">
        <v>26029</v>
      </c>
      <c r="H31" s="68" t="n">
        <v>127.32</v>
      </c>
      <c r="I31" s="68" t="n">
        <v>47.9</v>
      </c>
      <c r="J31" s="68" t="n">
        <v>2.25</v>
      </c>
      <c r="K31" s="68"/>
    </row>
    <row r="32" customFormat="false" ht="14.25" hidden="false" customHeight="true" outlineLevel="0" collapsed="false">
      <c r="A32" s="68" t="s">
        <v>31</v>
      </c>
      <c r="B32" s="68" t="s">
        <v>32</v>
      </c>
      <c r="C32" s="68" t="n">
        <v>2019</v>
      </c>
      <c r="D32" s="68" t="s">
        <v>797</v>
      </c>
      <c r="E32" s="68" t="s">
        <v>815</v>
      </c>
      <c r="F32" s="68" t="n">
        <v>8597</v>
      </c>
      <c r="G32" s="68" t="n">
        <v>20239</v>
      </c>
      <c r="H32" s="68" t="n">
        <v>97.79</v>
      </c>
      <c r="I32" s="68" t="n">
        <v>67</v>
      </c>
      <c r="J32" s="68" t="n">
        <v>2.67</v>
      </c>
      <c r="K32" s="68"/>
    </row>
    <row r="33" customFormat="false" ht="14.25" hidden="false" customHeight="true" outlineLevel="0" collapsed="false">
      <c r="A33" s="68" t="s">
        <v>53</v>
      </c>
      <c r="B33" s="68" t="s">
        <v>54</v>
      </c>
      <c r="C33" s="68" t="n">
        <v>2025</v>
      </c>
      <c r="D33" s="68" t="s">
        <v>798</v>
      </c>
      <c r="E33" s="68" t="s">
        <v>304</v>
      </c>
      <c r="F33" s="68" t="n">
        <v>7735</v>
      </c>
      <c r="G33" s="68" t="n">
        <v>15420</v>
      </c>
      <c r="H33" s="68" t="n">
        <v>127.41</v>
      </c>
      <c r="I33" s="68" t="n">
        <v>44.9</v>
      </c>
      <c r="J33" s="68" t="n">
        <v>2.44</v>
      </c>
      <c r="K33" s="68"/>
    </row>
    <row r="34" customFormat="false" ht="14.25" hidden="false" customHeight="true" outlineLevel="0" collapsed="false">
      <c r="A34" s="68" t="s">
        <v>50</v>
      </c>
      <c r="B34" s="68" t="s">
        <v>51</v>
      </c>
      <c r="C34" s="68" t="n">
        <v>2020</v>
      </c>
      <c r="D34" s="68" t="s">
        <v>798</v>
      </c>
      <c r="E34" s="68" t="s">
        <v>816</v>
      </c>
      <c r="F34" s="68" t="n">
        <v>209</v>
      </c>
      <c r="G34" s="68" t="n">
        <v>3676</v>
      </c>
      <c r="H34" s="68" t="n">
        <v>97.28</v>
      </c>
      <c r="I34" s="68" t="n">
        <v>30.8</v>
      </c>
      <c r="J34" s="68" t="n">
        <v>2.33</v>
      </c>
      <c r="K34" s="68"/>
    </row>
    <row r="35" customFormat="false" ht="14.25" hidden="false" customHeight="true" outlineLevel="0" collapsed="false">
      <c r="A35" s="68" t="s">
        <v>53</v>
      </c>
      <c r="B35" s="68" t="s">
        <v>54</v>
      </c>
      <c r="C35" s="68" t="n">
        <v>2019</v>
      </c>
      <c r="D35" s="68" t="s">
        <v>805</v>
      </c>
      <c r="E35" s="68" t="s">
        <v>817</v>
      </c>
      <c r="F35" s="68" t="n">
        <v>7259</v>
      </c>
      <c r="G35" s="68" t="n">
        <v>17100</v>
      </c>
      <c r="H35" s="68" t="n">
        <v>89.53</v>
      </c>
      <c r="I35" s="68" t="n">
        <v>49.3</v>
      </c>
      <c r="J35" s="68" t="n">
        <v>2.43</v>
      </c>
      <c r="K35" s="68"/>
    </row>
    <row r="36" customFormat="false" ht="14.25" hidden="false" customHeight="true" outlineLevel="0" collapsed="false">
      <c r="A36" s="68" t="s">
        <v>16</v>
      </c>
      <c r="B36" s="68" t="s">
        <v>17</v>
      </c>
      <c r="C36" s="68" t="n">
        <v>2021</v>
      </c>
      <c r="D36" s="68" t="s">
        <v>798</v>
      </c>
      <c r="E36" s="68" t="s">
        <v>818</v>
      </c>
      <c r="F36" s="68" t="n">
        <v>1381</v>
      </c>
      <c r="G36" s="68" t="n">
        <v>4567</v>
      </c>
      <c r="H36" s="68" t="n">
        <v>80.66</v>
      </c>
      <c r="I36" s="68" t="n">
        <v>31.2</v>
      </c>
      <c r="J36" s="68" t="n">
        <v>2.2</v>
      </c>
      <c r="K36" s="68"/>
    </row>
    <row r="37" customFormat="false" ht="14.25" hidden="false" customHeight="true" outlineLevel="0" collapsed="false">
      <c r="A37" s="68" t="s">
        <v>64</v>
      </c>
      <c r="B37" s="68" t="s">
        <v>65</v>
      </c>
      <c r="C37" s="68" t="n">
        <v>2022</v>
      </c>
      <c r="D37" s="68" t="s">
        <v>805</v>
      </c>
      <c r="E37" s="68" t="s">
        <v>819</v>
      </c>
      <c r="F37" s="68" t="n">
        <v>1307</v>
      </c>
      <c r="G37" s="68" t="n">
        <v>2927</v>
      </c>
      <c r="H37" s="68" t="n">
        <v>130.75</v>
      </c>
      <c r="I37" s="68" t="n">
        <v>36.3</v>
      </c>
      <c r="J37" s="68" t="n">
        <v>3.69</v>
      </c>
      <c r="K37" s="68"/>
    </row>
    <row r="38" customFormat="false" ht="14.25" hidden="false" customHeight="true" outlineLevel="0" collapsed="false">
      <c r="A38" s="68" t="s">
        <v>35</v>
      </c>
      <c r="B38" s="68" t="s">
        <v>36</v>
      </c>
      <c r="C38" s="68" t="n">
        <v>2025</v>
      </c>
      <c r="D38" s="68" t="s">
        <v>805</v>
      </c>
      <c r="E38" s="68" t="s">
        <v>303</v>
      </c>
      <c r="F38" s="68" t="n">
        <v>11184</v>
      </c>
      <c r="G38" s="68" t="n">
        <v>20991</v>
      </c>
      <c r="H38" s="68" t="n">
        <v>131.47</v>
      </c>
      <c r="I38" s="68" t="n">
        <v>60.1</v>
      </c>
      <c r="J38" s="68" t="n">
        <v>2.59</v>
      </c>
      <c r="K38" s="68"/>
    </row>
    <row r="39" customFormat="false" ht="14.25" hidden="false" customHeight="true" outlineLevel="0" collapsed="false">
      <c r="A39" s="68" t="s">
        <v>50</v>
      </c>
      <c r="B39" s="68" t="s">
        <v>51</v>
      </c>
      <c r="C39" s="68" t="n">
        <v>2020</v>
      </c>
      <c r="D39" s="68" t="s">
        <v>797</v>
      </c>
      <c r="E39" s="68" t="s">
        <v>813</v>
      </c>
      <c r="F39" s="68" t="n">
        <v>4442</v>
      </c>
      <c r="G39" s="68" t="n">
        <v>12317</v>
      </c>
      <c r="H39" s="68" t="n">
        <v>103.26</v>
      </c>
      <c r="I39" s="68" t="n">
        <v>48.6</v>
      </c>
      <c r="J39" s="68" t="n">
        <v>2.55</v>
      </c>
      <c r="K39" s="68"/>
    </row>
    <row r="40" customFormat="false" ht="14.25" hidden="false" customHeight="true" outlineLevel="0" collapsed="false">
      <c r="A40" s="68" t="s">
        <v>61</v>
      </c>
      <c r="B40" s="68" t="s">
        <v>62</v>
      </c>
      <c r="C40" s="68" t="n">
        <v>2022</v>
      </c>
      <c r="D40" s="68" t="s">
        <v>801</v>
      </c>
      <c r="E40" s="68" t="s">
        <v>803</v>
      </c>
      <c r="F40" s="68" t="n">
        <v>15265</v>
      </c>
      <c r="G40" s="68" t="n">
        <v>39160</v>
      </c>
      <c r="H40" s="68" t="n">
        <v>120.04</v>
      </c>
      <c r="I40" s="68" t="n">
        <v>56.5</v>
      </c>
      <c r="J40" s="68" t="n">
        <v>2.66</v>
      </c>
      <c r="K40" s="68"/>
    </row>
    <row r="41" customFormat="false" ht="14.25" hidden="false" customHeight="true" outlineLevel="0" collapsed="false">
      <c r="A41" s="68" t="s">
        <v>50</v>
      </c>
      <c r="B41" s="68" t="s">
        <v>51</v>
      </c>
      <c r="C41" s="68" t="n">
        <v>2023</v>
      </c>
      <c r="D41" s="68" t="s">
        <v>797</v>
      </c>
      <c r="E41" s="68" t="s">
        <v>820</v>
      </c>
      <c r="F41" s="68" t="n">
        <v>9908</v>
      </c>
      <c r="G41" s="68" t="n">
        <v>21061</v>
      </c>
      <c r="H41" s="68" t="n">
        <v>123.53</v>
      </c>
      <c r="I41" s="68" t="n">
        <v>70.2</v>
      </c>
      <c r="J41" s="68" t="n">
        <v>2.67</v>
      </c>
      <c r="K41" s="68"/>
    </row>
    <row r="42" customFormat="false" ht="14.25" hidden="false" customHeight="true" outlineLevel="0" collapsed="false">
      <c r="A42" s="68" t="s">
        <v>16</v>
      </c>
      <c r="B42" s="68" t="s">
        <v>17</v>
      </c>
      <c r="C42" s="68" t="n">
        <v>2023</v>
      </c>
      <c r="D42" s="68" t="s">
        <v>801</v>
      </c>
      <c r="E42" s="68" t="s">
        <v>802</v>
      </c>
      <c r="F42" s="68" t="n">
        <v>7332</v>
      </c>
      <c r="G42" s="68" t="n">
        <v>15837</v>
      </c>
      <c r="H42" s="68" t="n">
        <v>112.59</v>
      </c>
      <c r="I42" s="68" t="n">
        <v>57</v>
      </c>
      <c r="J42" s="68" t="n">
        <v>2.28</v>
      </c>
      <c r="K42" s="68"/>
    </row>
    <row r="43" customFormat="false" ht="14.25" hidden="false" customHeight="true" outlineLevel="0" collapsed="false">
      <c r="A43" s="68" t="s">
        <v>31</v>
      </c>
      <c r="B43" s="68" t="s">
        <v>32</v>
      </c>
      <c r="C43" s="68" t="n">
        <v>2025</v>
      </c>
      <c r="D43" s="68" t="s">
        <v>805</v>
      </c>
      <c r="E43" s="68" t="s">
        <v>303</v>
      </c>
      <c r="F43" s="68" t="n">
        <v>7519</v>
      </c>
      <c r="G43" s="68" t="n">
        <v>17426</v>
      </c>
      <c r="H43" s="68" t="n">
        <v>118.24</v>
      </c>
      <c r="I43" s="68" t="n">
        <v>54</v>
      </c>
      <c r="J43" s="68" t="n">
        <v>2.39</v>
      </c>
      <c r="K43" s="68"/>
    </row>
    <row r="44" customFormat="false" ht="14.25" hidden="false" customHeight="true" outlineLevel="0" collapsed="false">
      <c r="A44" s="68" t="s">
        <v>42</v>
      </c>
      <c r="B44" s="68" t="s">
        <v>43</v>
      </c>
      <c r="C44" s="68" t="n">
        <v>2022</v>
      </c>
      <c r="D44" s="68" t="s">
        <v>798</v>
      </c>
      <c r="E44" s="68" t="s">
        <v>807</v>
      </c>
      <c r="F44" s="68" t="n">
        <v>20880</v>
      </c>
      <c r="G44" s="68" t="n">
        <v>38789</v>
      </c>
      <c r="H44" s="68" t="n">
        <v>177.99</v>
      </c>
      <c r="I44" s="68" t="n">
        <v>49.7</v>
      </c>
      <c r="J44" s="68" t="n">
        <v>2.11</v>
      </c>
      <c r="K44" s="68"/>
    </row>
    <row r="45" customFormat="false" ht="14.25" hidden="false" customHeight="true" outlineLevel="0" collapsed="false">
      <c r="A45" s="68" t="s">
        <v>16</v>
      </c>
      <c r="B45" s="68" t="s">
        <v>17</v>
      </c>
      <c r="C45" s="68" t="n">
        <v>2024</v>
      </c>
      <c r="D45" s="68" t="s">
        <v>797</v>
      </c>
      <c r="E45" s="68" t="s">
        <v>821</v>
      </c>
      <c r="F45" s="68" t="n">
        <v>9784</v>
      </c>
      <c r="G45" s="68" t="n">
        <v>17608</v>
      </c>
      <c r="H45" s="68" t="n">
        <v>114.66</v>
      </c>
      <c r="I45" s="68" t="n">
        <v>67.5</v>
      </c>
      <c r="J45" s="68" t="n">
        <v>2.69</v>
      </c>
      <c r="K45" s="68"/>
    </row>
    <row r="46" customFormat="false" ht="14.25" hidden="false" customHeight="true" outlineLevel="0" collapsed="false">
      <c r="A46" s="68" t="s">
        <v>64</v>
      </c>
      <c r="B46" s="68" t="s">
        <v>65</v>
      </c>
      <c r="C46" s="68" t="n">
        <v>2024</v>
      </c>
      <c r="D46" s="68" t="s">
        <v>797</v>
      </c>
      <c r="E46" s="68" t="s">
        <v>821</v>
      </c>
      <c r="F46" s="68" t="n">
        <v>6830</v>
      </c>
      <c r="G46" s="68" t="n">
        <v>15760</v>
      </c>
      <c r="H46" s="68" t="n">
        <v>152.58</v>
      </c>
      <c r="I46" s="68" t="n">
        <v>80.9</v>
      </c>
      <c r="J46" s="68" t="n">
        <v>4.44</v>
      </c>
      <c r="K46" s="68"/>
    </row>
    <row r="47" customFormat="false" ht="14.25" hidden="false" customHeight="true" outlineLevel="0" collapsed="false">
      <c r="A47" s="68" t="s">
        <v>55</v>
      </c>
      <c r="B47" s="68" t="s">
        <v>56</v>
      </c>
      <c r="C47" s="68" t="n">
        <v>2025</v>
      </c>
      <c r="D47" s="68" t="s">
        <v>805</v>
      </c>
      <c r="E47" s="68" t="s">
        <v>303</v>
      </c>
      <c r="F47" s="68" t="n">
        <v>12918</v>
      </c>
      <c r="G47" s="68" t="n">
        <v>26612</v>
      </c>
      <c r="H47" s="68" t="n">
        <v>111.04</v>
      </c>
      <c r="I47" s="68" t="n">
        <v>53.1</v>
      </c>
      <c r="J47" s="68" t="n">
        <v>2.07</v>
      </c>
      <c r="K47" s="68"/>
    </row>
    <row r="48" customFormat="false" ht="14.25" hidden="false" customHeight="true" outlineLevel="0" collapsed="false">
      <c r="A48" s="68" t="s">
        <v>31</v>
      </c>
      <c r="B48" s="68" t="s">
        <v>32</v>
      </c>
      <c r="C48" s="68" t="n">
        <v>2022</v>
      </c>
      <c r="D48" s="68" t="s">
        <v>797</v>
      </c>
      <c r="E48" s="68" t="s">
        <v>822</v>
      </c>
      <c r="F48" s="68" t="n">
        <v>6854</v>
      </c>
      <c r="G48" s="68" t="n">
        <v>19620</v>
      </c>
      <c r="H48" s="68" t="n">
        <v>105.66</v>
      </c>
      <c r="I48" s="68" t="n">
        <v>59.5</v>
      </c>
      <c r="J48" s="68" t="n">
        <v>2.71</v>
      </c>
      <c r="K48" s="68"/>
    </row>
    <row r="49" customFormat="false" ht="14.25" hidden="false" customHeight="true" outlineLevel="0" collapsed="false">
      <c r="A49" s="68" t="s">
        <v>16</v>
      </c>
      <c r="B49" s="68" t="s">
        <v>17</v>
      </c>
      <c r="C49" s="68" t="n">
        <v>2025</v>
      </c>
      <c r="D49" s="68" t="s">
        <v>805</v>
      </c>
      <c r="E49" s="68" t="s">
        <v>303</v>
      </c>
      <c r="F49" s="68" t="n">
        <v>6162</v>
      </c>
      <c r="G49" s="68" t="n">
        <v>14091</v>
      </c>
      <c r="H49" s="68" t="n">
        <v>130.22</v>
      </c>
      <c r="I49" s="68" t="n">
        <v>58</v>
      </c>
      <c r="J49" s="68" t="n">
        <v>2.28</v>
      </c>
      <c r="K49" s="68"/>
    </row>
    <row r="50" customFormat="false" ht="14.25" hidden="false" customHeight="true" outlineLevel="0" collapsed="false">
      <c r="A50" s="68" t="s">
        <v>42</v>
      </c>
      <c r="B50" s="68" t="s">
        <v>43</v>
      </c>
      <c r="C50" s="68" t="n">
        <v>2021</v>
      </c>
      <c r="D50" s="68" t="s">
        <v>798</v>
      </c>
      <c r="E50" s="68" t="s">
        <v>818</v>
      </c>
      <c r="F50" s="68" t="n">
        <v>6242</v>
      </c>
      <c r="G50" s="68" t="n">
        <v>24662</v>
      </c>
      <c r="H50" s="68" t="n">
        <v>124.94</v>
      </c>
      <c r="I50" s="68" t="n">
        <v>38.5</v>
      </c>
      <c r="J50" s="68" t="n">
        <v>2.08</v>
      </c>
      <c r="K50" s="68"/>
    </row>
    <row r="51" customFormat="false" ht="14.25" hidden="false" customHeight="true" outlineLevel="0" collapsed="false">
      <c r="A51" s="68" t="s">
        <v>61</v>
      </c>
      <c r="B51" s="68" t="s">
        <v>62</v>
      </c>
      <c r="C51" s="68" t="n">
        <v>2021</v>
      </c>
      <c r="D51" s="68" t="s">
        <v>801</v>
      </c>
      <c r="E51" s="68" t="s">
        <v>812</v>
      </c>
      <c r="F51" s="68" t="n">
        <v>5373</v>
      </c>
      <c r="G51" s="68" t="n">
        <v>23788</v>
      </c>
      <c r="H51" s="68" t="n">
        <v>95.09</v>
      </c>
      <c r="I51" s="68" t="n">
        <v>44</v>
      </c>
      <c r="J51" s="68" t="n">
        <v>2.54</v>
      </c>
      <c r="K51" s="68"/>
    </row>
    <row r="52" customFormat="false" ht="14.25" hidden="false" customHeight="true" outlineLevel="0" collapsed="false">
      <c r="A52" s="68" t="s">
        <v>53</v>
      </c>
      <c r="B52" s="68" t="s">
        <v>54</v>
      </c>
      <c r="C52" s="68" t="n">
        <v>2024</v>
      </c>
      <c r="D52" s="68" t="s">
        <v>805</v>
      </c>
      <c r="E52" s="68" t="s">
        <v>811</v>
      </c>
      <c r="F52" s="68" t="n">
        <v>9424</v>
      </c>
      <c r="G52" s="68" t="n">
        <v>21217</v>
      </c>
      <c r="H52" s="68" t="n">
        <v>115.61</v>
      </c>
      <c r="I52" s="68" t="n">
        <v>52.1</v>
      </c>
      <c r="J52" s="68" t="n">
        <v>2.59</v>
      </c>
      <c r="K52" s="68"/>
    </row>
    <row r="53" customFormat="false" ht="14.25" hidden="false" customHeight="true" outlineLevel="0" collapsed="false">
      <c r="A53" s="68" t="s">
        <v>55</v>
      </c>
      <c r="B53" s="68" t="s">
        <v>56</v>
      </c>
      <c r="C53" s="68" t="n">
        <v>2021</v>
      </c>
      <c r="D53" s="68" t="s">
        <v>801</v>
      </c>
      <c r="E53" s="68" t="s">
        <v>812</v>
      </c>
      <c r="F53" s="68" t="n">
        <v>3614</v>
      </c>
      <c r="G53" s="68" t="n">
        <v>16688</v>
      </c>
      <c r="H53" s="68" t="n">
        <v>79.29</v>
      </c>
      <c r="I53" s="68" t="n">
        <v>38.2</v>
      </c>
      <c r="J53" s="68" t="n">
        <v>2.24</v>
      </c>
      <c r="K53" s="68"/>
    </row>
    <row r="54" customFormat="false" ht="14.25" hidden="false" customHeight="true" outlineLevel="0" collapsed="false">
      <c r="A54" s="68" t="s">
        <v>53</v>
      </c>
      <c r="B54" s="68" t="s">
        <v>54</v>
      </c>
      <c r="C54" s="68" t="n">
        <v>2021</v>
      </c>
      <c r="D54" s="68" t="s">
        <v>801</v>
      </c>
      <c r="E54" s="68" t="s">
        <v>812</v>
      </c>
      <c r="F54" s="68" t="n">
        <v>3139</v>
      </c>
      <c r="G54" s="68" t="n">
        <v>11358</v>
      </c>
      <c r="H54" s="68" t="n">
        <v>98.02</v>
      </c>
      <c r="I54" s="68" t="n">
        <v>41.7</v>
      </c>
      <c r="J54" s="68" t="n">
        <v>2.48</v>
      </c>
      <c r="K54" s="68"/>
    </row>
    <row r="55" customFormat="false" ht="14.25" hidden="false" customHeight="true" outlineLevel="0" collapsed="false">
      <c r="A55" s="68" t="s">
        <v>57</v>
      </c>
      <c r="B55" s="68" t="s">
        <v>58</v>
      </c>
      <c r="C55" s="68" t="n">
        <v>2025</v>
      </c>
      <c r="D55" s="68" t="s">
        <v>797</v>
      </c>
      <c r="E55" s="68" t="s">
        <v>302</v>
      </c>
      <c r="F55" s="68" t="n">
        <v>9343</v>
      </c>
      <c r="G55" s="68" t="n">
        <v>21588</v>
      </c>
      <c r="H55" s="68" t="n">
        <v>105.39</v>
      </c>
      <c r="I55" s="68" t="n">
        <v>55.7</v>
      </c>
      <c r="J55" s="68" t="n">
        <v>2.39</v>
      </c>
      <c r="K55" s="68"/>
    </row>
    <row r="56" customFormat="false" ht="14.25" hidden="false" customHeight="true" outlineLevel="0" collapsed="false">
      <c r="A56" s="68" t="s">
        <v>46</v>
      </c>
      <c r="B56" s="68" t="s">
        <v>47</v>
      </c>
      <c r="C56" s="68" t="n">
        <v>2023</v>
      </c>
      <c r="D56" s="68" t="s">
        <v>801</v>
      </c>
      <c r="E56" s="68" t="s">
        <v>802</v>
      </c>
      <c r="F56" s="68" t="n">
        <v>6466</v>
      </c>
      <c r="G56" s="68" t="n">
        <v>14413</v>
      </c>
      <c r="H56" s="68" t="n">
        <v>94.4</v>
      </c>
      <c r="I56" s="68" t="n">
        <v>54.4</v>
      </c>
      <c r="J56" s="68" t="n">
        <v>2.43</v>
      </c>
      <c r="K56" s="68"/>
    </row>
    <row r="57" customFormat="false" ht="14.25" hidden="false" customHeight="true" outlineLevel="0" collapsed="false">
      <c r="A57" s="68" t="s">
        <v>46</v>
      </c>
      <c r="B57" s="68" t="s">
        <v>47</v>
      </c>
      <c r="C57" s="68" t="n">
        <v>2021</v>
      </c>
      <c r="D57" s="68" t="s">
        <v>801</v>
      </c>
      <c r="E57" s="68" t="s">
        <v>812</v>
      </c>
      <c r="F57" s="68" t="n">
        <v>1760</v>
      </c>
      <c r="G57" s="68" t="n">
        <v>8370</v>
      </c>
      <c r="H57" s="68" t="n">
        <v>72.76</v>
      </c>
      <c r="I57" s="68" t="n">
        <v>36.3</v>
      </c>
      <c r="J57" s="68" t="n">
        <v>2.22</v>
      </c>
      <c r="K57" s="68"/>
    </row>
    <row r="58" customFormat="false" ht="14.25" hidden="false" customHeight="true" outlineLevel="0" collapsed="false">
      <c r="A58" s="68" t="s">
        <v>27</v>
      </c>
      <c r="B58" s="68" t="s">
        <v>28</v>
      </c>
      <c r="C58" s="68" t="n">
        <v>2020</v>
      </c>
      <c r="D58" s="68" t="s">
        <v>798</v>
      </c>
      <c r="E58" s="68" t="s">
        <v>816</v>
      </c>
      <c r="F58" s="68" t="n">
        <v>372</v>
      </c>
      <c r="G58" s="68" t="n">
        <v>5959</v>
      </c>
      <c r="H58" s="68" t="n">
        <v>80.93</v>
      </c>
      <c r="I58" s="68" t="n">
        <v>26.3</v>
      </c>
      <c r="J58" s="68" t="n">
        <v>2.28</v>
      </c>
      <c r="K58" s="68"/>
    </row>
    <row r="59" customFormat="false" ht="14.25" hidden="false" customHeight="true" outlineLevel="0" collapsed="false">
      <c r="A59" s="68" t="s">
        <v>39</v>
      </c>
      <c r="B59" s="68" t="s">
        <v>40</v>
      </c>
      <c r="C59" s="68" t="n">
        <v>2020</v>
      </c>
      <c r="D59" s="68" t="s">
        <v>801</v>
      </c>
      <c r="E59" s="68" t="s">
        <v>810</v>
      </c>
      <c r="F59" s="68" t="n">
        <v>840</v>
      </c>
      <c r="G59" s="68" t="n">
        <v>15356</v>
      </c>
      <c r="H59" s="68" t="n">
        <v>86.97</v>
      </c>
      <c r="I59" s="68" t="n">
        <v>31</v>
      </c>
      <c r="J59" s="68" t="n">
        <v>2.33</v>
      </c>
      <c r="K59" s="68"/>
    </row>
    <row r="60" customFormat="false" ht="14.25" hidden="false" customHeight="true" outlineLevel="0" collapsed="false">
      <c r="A60" s="68" t="s">
        <v>67</v>
      </c>
      <c r="B60" s="68" t="s">
        <v>68</v>
      </c>
      <c r="C60" s="68" t="n">
        <v>2024</v>
      </c>
      <c r="D60" s="68" t="s">
        <v>798</v>
      </c>
      <c r="E60" s="68" t="s">
        <v>808</v>
      </c>
      <c r="F60" s="68" t="n">
        <v>2467</v>
      </c>
      <c r="G60" s="68" t="n">
        <v>5419</v>
      </c>
      <c r="H60" s="68" t="n">
        <v>214.92</v>
      </c>
      <c r="I60" s="68" t="n">
        <v>39.5</v>
      </c>
      <c r="J60" s="68" t="n">
        <v>3.54</v>
      </c>
      <c r="K60" s="68"/>
    </row>
    <row r="61" customFormat="false" ht="14.25" hidden="false" customHeight="true" outlineLevel="0" collapsed="false">
      <c r="A61" s="68" t="s">
        <v>67</v>
      </c>
      <c r="B61" s="68" t="s">
        <v>68</v>
      </c>
      <c r="C61" s="68" t="n">
        <v>2022</v>
      </c>
      <c r="D61" s="68" t="s">
        <v>805</v>
      </c>
      <c r="E61" s="68" t="s">
        <v>819</v>
      </c>
      <c r="F61" s="68" t="n">
        <v>2322</v>
      </c>
      <c r="G61" s="68" t="n">
        <v>6409</v>
      </c>
      <c r="H61" s="68" t="n">
        <v>155.71</v>
      </c>
      <c r="I61" s="68" t="n">
        <v>38.9</v>
      </c>
      <c r="J61" s="68" t="n">
        <v>3.53</v>
      </c>
      <c r="K61" s="68"/>
    </row>
    <row r="62" customFormat="false" ht="14.25" hidden="false" customHeight="true" outlineLevel="0" collapsed="false">
      <c r="A62" s="68" t="s">
        <v>67</v>
      </c>
      <c r="B62" s="68" t="s">
        <v>68</v>
      </c>
      <c r="C62" s="68" t="n">
        <v>2021</v>
      </c>
      <c r="D62" s="68" t="s">
        <v>797</v>
      </c>
      <c r="E62" s="68" t="s">
        <v>804</v>
      </c>
      <c r="F62" s="68" t="n">
        <v>1473</v>
      </c>
      <c r="G62" s="68" t="n">
        <v>13344</v>
      </c>
      <c r="H62" s="68" t="n">
        <v>138.27</v>
      </c>
      <c r="I62" s="68" t="n">
        <v>33.3</v>
      </c>
      <c r="J62" s="68" t="n">
        <v>4.56</v>
      </c>
      <c r="K62" s="68"/>
    </row>
    <row r="63" customFormat="false" ht="14.25" hidden="false" customHeight="true" outlineLevel="0" collapsed="false">
      <c r="A63" s="68" t="s">
        <v>35</v>
      </c>
      <c r="B63" s="68" t="s">
        <v>36</v>
      </c>
      <c r="C63" s="68" t="n">
        <v>2021</v>
      </c>
      <c r="D63" s="68" t="s">
        <v>805</v>
      </c>
      <c r="E63" s="68" t="s">
        <v>806</v>
      </c>
      <c r="F63" s="68" t="n">
        <v>954</v>
      </c>
      <c r="G63" s="68" t="n">
        <v>7519</v>
      </c>
      <c r="H63" s="68" t="n">
        <v>87.07</v>
      </c>
      <c r="I63" s="68" t="n">
        <v>29.9</v>
      </c>
      <c r="J63" s="68" t="n">
        <v>2.33</v>
      </c>
      <c r="K63" s="68"/>
    </row>
    <row r="64" customFormat="false" ht="14.25" hidden="false" customHeight="true" outlineLevel="0" collapsed="false">
      <c r="A64" s="68" t="s">
        <v>64</v>
      </c>
      <c r="B64" s="68" t="s">
        <v>65</v>
      </c>
      <c r="C64" s="68" t="n">
        <v>2019</v>
      </c>
      <c r="D64" s="68" t="s">
        <v>798</v>
      </c>
      <c r="E64" s="68" t="s">
        <v>799</v>
      </c>
      <c r="F64" s="68" t="n">
        <v>790</v>
      </c>
      <c r="G64" s="68" t="n">
        <v>2022</v>
      </c>
      <c r="H64" s="68" t="n">
        <v>132.77</v>
      </c>
      <c r="I64" s="68" t="n">
        <v>34.6</v>
      </c>
      <c r="J64" s="68" t="n">
        <v>3.17</v>
      </c>
      <c r="K64" s="68"/>
    </row>
    <row r="65" customFormat="false" ht="14.25" hidden="false" customHeight="true" outlineLevel="0" collapsed="false">
      <c r="A65" s="68" t="s">
        <v>67</v>
      </c>
      <c r="B65" s="68" t="s">
        <v>68</v>
      </c>
      <c r="C65" s="68" t="n">
        <v>2025</v>
      </c>
      <c r="D65" s="68" t="s">
        <v>805</v>
      </c>
      <c r="E65" s="68" t="s">
        <v>303</v>
      </c>
      <c r="F65" s="68" t="n">
        <v>4250</v>
      </c>
      <c r="G65" s="68" t="n">
        <v>9518</v>
      </c>
      <c r="H65" s="68" t="n">
        <v>217.53</v>
      </c>
      <c r="I65" s="68" t="n">
        <v>51.8</v>
      </c>
      <c r="J65" s="68" t="n">
        <v>3.62</v>
      </c>
      <c r="K65" s="68"/>
    </row>
    <row r="66" customFormat="false" ht="14.25" hidden="false" customHeight="true" outlineLevel="0" collapsed="false">
      <c r="A66" s="68" t="s">
        <v>67</v>
      </c>
      <c r="B66" s="68" t="s">
        <v>68</v>
      </c>
      <c r="C66" s="68" t="n">
        <v>2023</v>
      </c>
      <c r="D66" s="68" t="s">
        <v>798</v>
      </c>
      <c r="E66" s="68" t="s">
        <v>800</v>
      </c>
      <c r="F66" s="68" t="n">
        <v>2370</v>
      </c>
      <c r="G66" s="68" t="n">
        <v>4664</v>
      </c>
      <c r="H66" s="68" t="n">
        <v>198.62</v>
      </c>
      <c r="I66" s="68" t="n">
        <v>39.5</v>
      </c>
      <c r="J66" s="68" t="n">
        <v>3.25</v>
      </c>
      <c r="K66" s="68"/>
    </row>
    <row r="67" customFormat="false" ht="14.25" hidden="false" customHeight="true" outlineLevel="0" collapsed="false">
      <c r="A67" s="68" t="s">
        <v>55</v>
      </c>
      <c r="B67" s="68" t="s">
        <v>56</v>
      </c>
      <c r="C67" s="68" t="n">
        <v>2023</v>
      </c>
      <c r="D67" s="68" t="s">
        <v>797</v>
      </c>
      <c r="E67" s="68" t="s">
        <v>820</v>
      </c>
      <c r="F67" s="68" t="n">
        <v>11996</v>
      </c>
      <c r="G67" s="68" t="n">
        <v>37453</v>
      </c>
      <c r="H67" s="68" t="n">
        <v>96.93</v>
      </c>
      <c r="I67" s="68" t="n">
        <v>57.5</v>
      </c>
      <c r="J67" s="68" t="n">
        <v>2.54</v>
      </c>
      <c r="K67" s="68"/>
    </row>
    <row r="68" customFormat="false" ht="14.25" hidden="false" customHeight="true" outlineLevel="0" collapsed="false">
      <c r="A68" s="68" t="s">
        <v>50</v>
      </c>
      <c r="B68" s="68" t="s">
        <v>51</v>
      </c>
      <c r="C68" s="68" t="n">
        <v>2019</v>
      </c>
      <c r="D68" s="68" t="s">
        <v>801</v>
      </c>
      <c r="E68" s="68" t="s">
        <v>823</v>
      </c>
      <c r="F68" s="68" t="n">
        <v>6668</v>
      </c>
      <c r="G68" s="68" t="n">
        <v>15331</v>
      </c>
      <c r="H68" s="68" t="n">
        <v>118.18</v>
      </c>
      <c r="I68" s="68" t="n">
        <v>66.1</v>
      </c>
      <c r="J68" s="68" t="n">
        <v>2.59</v>
      </c>
      <c r="K68" s="68"/>
    </row>
    <row r="69" customFormat="false" ht="14.25" hidden="false" customHeight="true" outlineLevel="0" collapsed="false">
      <c r="A69" s="68" t="s">
        <v>50</v>
      </c>
      <c r="B69" s="68" t="s">
        <v>51</v>
      </c>
      <c r="C69" s="68" t="n">
        <v>2022</v>
      </c>
      <c r="D69" s="68" t="s">
        <v>797</v>
      </c>
      <c r="E69" s="68" t="s">
        <v>822</v>
      </c>
      <c r="F69" s="68" t="n">
        <v>5734</v>
      </c>
      <c r="G69" s="68" t="n">
        <v>16452</v>
      </c>
      <c r="H69" s="68" t="n">
        <v>118.3</v>
      </c>
      <c r="I69" s="68" t="n">
        <v>56.6</v>
      </c>
      <c r="J69" s="68" t="n">
        <v>2.46</v>
      </c>
      <c r="K69" s="68"/>
    </row>
    <row r="70" customFormat="false" ht="14.25" hidden="false" customHeight="true" outlineLevel="0" collapsed="false">
      <c r="A70" s="68" t="s">
        <v>50</v>
      </c>
      <c r="B70" s="68" t="s">
        <v>51</v>
      </c>
      <c r="C70" s="68" t="n">
        <v>2019</v>
      </c>
      <c r="D70" s="68" t="s">
        <v>805</v>
      </c>
      <c r="E70" s="68" t="s">
        <v>817</v>
      </c>
      <c r="F70" s="68" t="n">
        <v>5252</v>
      </c>
      <c r="G70" s="68" t="n">
        <v>13358</v>
      </c>
      <c r="H70" s="68" t="n">
        <v>110</v>
      </c>
      <c r="I70" s="68" t="n">
        <v>57.5</v>
      </c>
      <c r="J70" s="68" t="n">
        <v>2.51</v>
      </c>
      <c r="K70" s="68"/>
    </row>
    <row r="71" customFormat="false" ht="14.25" hidden="false" customHeight="true" outlineLevel="0" collapsed="false">
      <c r="A71" s="68" t="s">
        <v>27</v>
      </c>
      <c r="B71" s="68" t="s">
        <v>28</v>
      </c>
      <c r="C71" s="68" t="n">
        <v>2021</v>
      </c>
      <c r="D71" s="68" t="s">
        <v>801</v>
      </c>
      <c r="E71" s="68" t="s">
        <v>812</v>
      </c>
      <c r="F71" s="68" t="n">
        <v>3181</v>
      </c>
      <c r="G71" s="68" t="n">
        <v>13950</v>
      </c>
      <c r="H71" s="68" t="n">
        <v>93.07</v>
      </c>
      <c r="I71" s="68" t="n">
        <v>39.4</v>
      </c>
      <c r="J71" s="68" t="n">
        <v>2.5</v>
      </c>
      <c r="K71" s="68"/>
    </row>
    <row r="72" customFormat="false" ht="14.25" hidden="false" customHeight="true" outlineLevel="0" collapsed="false">
      <c r="A72" s="68" t="s">
        <v>50</v>
      </c>
      <c r="B72" s="68" t="s">
        <v>51</v>
      </c>
      <c r="C72" s="68" t="n">
        <v>2019</v>
      </c>
      <c r="D72" s="68" t="s">
        <v>798</v>
      </c>
      <c r="E72" s="68" t="s">
        <v>799</v>
      </c>
      <c r="F72" s="68" t="n">
        <v>3792</v>
      </c>
      <c r="G72" s="68" t="n">
        <v>10111</v>
      </c>
      <c r="H72" s="68" t="n">
        <v>125.97</v>
      </c>
      <c r="I72" s="68" t="n">
        <v>48.8</v>
      </c>
      <c r="J72" s="68" t="n">
        <v>2.1</v>
      </c>
      <c r="K72" s="68"/>
    </row>
    <row r="73" customFormat="false" ht="14.25" hidden="false" customHeight="true" outlineLevel="0" collapsed="false">
      <c r="A73" s="68" t="s">
        <v>57</v>
      </c>
      <c r="B73" s="68" t="s">
        <v>58</v>
      </c>
      <c r="C73" s="68" t="n">
        <v>2021</v>
      </c>
      <c r="D73" s="68" t="s">
        <v>801</v>
      </c>
      <c r="E73" s="68" t="s">
        <v>812</v>
      </c>
      <c r="F73" s="68" t="n">
        <v>2138</v>
      </c>
      <c r="G73" s="68" t="n">
        <v>10773</v>
      </c>
      <c r="H73" s="68" t="n">
        <v>75.19</v>
      </c>
      <c r="I73" s="68" t="n">
        <v>38.9</v>
      </c>
      <c r="J73" s="68" t="n">
        <v>2.48</v>
      </c>
      <c r="K73" s="68"/>
    </row>
    <row r="74" customFormat="false" ht="14.25" hidden="false" customHeight="true" outlineLevel="0" collapsed="false">
      <c r="A74" s="68" t="s">
        <v>16</v>
      </c>
      <c r="B74" s="68" t="s">
        <v>17</v>
      </c>
      <c r="C74" s="68" t="n">
        <v>2025</v>
      </c>
      <c r="D74" s="68" t="s">
        <v>798</v>
      </c>
      <c r="E74" s="68" t="s">
        <v>304</v>
      </c>
      <c r="F74" s="68" t="n">
        <v>5407</v>
      </c>
      <c r="G74" s="68" t="n">
        <v>11566</v>
      </c>
      <c r="H74" s="68" t="n">
        <v>109.7</v>
      </c>
      <c r="I74" s="68" t="n">
        <v>56.8</v>
      </c>
      <c r="J74" s="68" t="n">
        <v>2.2</v>
      </c>
      <c r="K74" s="68"/>
    </row>
    <row r="75" customFormat="false" ht="14.25" hidden="false" customHeight="true" outlineLevel="0" collapsed="false">
      <c r="A75" s="68" t="s">
        <v>27</v>
      </c>
      <c r="B75" s="68" t="s">
        <v>28</v>
      </c>
      <c r="C75" s="68" t="n">
        <v>2021</v>
      </c>
      <c r="D75" s="68" t="s">
        <v>805</v>
      </c>
      <c r="E75" s="68" t="s">
        <v>806</v>
      </c>
      <c r="F75" s="68" t="n">
        <v>1008</v>
      </c>
      <c r="G75" s="68" t="n">
        <v>8251</v>
      </c>
      <c r="H75" s="68" t="n">
        <v>81.62</v>
      </c>
      <c r="I75" s="68" t="n">
        <v>29.3</v>
      </c>
      <c r="J75" s="68" t="n">
        <v>2.27</v>
      </c>
      <c r="K75" s="68"/>
    </row>
    <row r="76" customFormat="false" ht="14.25" hidden="false" customHeight="true" outlineLevel="0" collapsed="false">
      <c r="A76" s="68" t="s">
        <v>55</v>
      </c>
      <c r="B76" s="68" t="s">
        <v>56</v>
      </c>
      <c r="C76" s="68" t="n">
        <v>2019</v>
      </c>
      <c r="D76" s="68" t="s">
        <v>797</v>
      </c>
      <c r="E76" s="68" t="s">
        <v>815</v>
      </c>
      <c r="F76" s="68" t="n">
        <v>12134</v>
      </c>
      <c r="G76" s="68" t="n">
        <v>28333</v>
      </c>
      <c r="H76" s="68" t="n">
        <v>75.67</v>
      </c>
      <c r="I76" s="68" t="n">
        <v>55.5</v>
      </c>
      <c r="J76" s="68" t="n">
        <v>2.52</v>
      </c>
      <c r="K76" s="68"/>
    </row>
    <row r="77" customFormat="false" ht="14.25" hidden="false" customHeight="true" outlineLevel="0" collapsed="false">
      <c r="A77" s="68" t="s">
        <v>42</v>
      </c>
      <c r="B77" s="68" t="s">
        <v>43</v>
      </c>
      <c r="C77" s="68" t="n">
        <v>2022</v>
      </c>
      <c r="D77" s="68" t="s">
        <v>801</v>
      </c>
      <c r="E77" s="68" t="s">
        <v>803</v>
      </c>
      <c r="F77" s="68" t="n">
        <v>29573</v>
      </c>
      <c r="G77" s="68" t="n">
        <v>63814</v>
      </c>
      <c r="H77" s="68" t="n">
        <v>146.24</v>
      </c>
      <c r="I77" s="68" t="n">
        <v>52.5</v>
      </c>
      <c r="J77" s="68" t="n">
        <v>2.64</v>
      </c>
      <c r="K77" s="68"/>
    </row>
    <row r="78" customFormat="false" ht="14.25" hidden="false" customHeight="true" outlineLevel="0" collapsed="false">
      <c r="A78" s="68" t="s">
        <v>35</v>
      </c>
      <c r="B78" s="68" t="s">
        <v>36</v>
      </c>
      <c r="C78" s="68" t="n">
        <v>2022</v>
      </c>
      <c r="D78" s="68" t="s">
        <v>797</v>
      </c>
      <c r="E78" s="68" t="s">
        <v>822</v>
      </c>
      <c r="F78" s="68" t="n">
        <v>7248</v>
      </c>
      <c r="G78" s="68" t="n">
        <v>22747</v>
      </c>
      <c r="H78" s="68" t="n">
        <v>98.58</v>
      </c>
      <c r="I78" s="68" t="n">
        <v>50.4</v>
      </c>
      <c r="J78" s="68" t="n">
        <v>2.56</v>
      </c>
      <c r="K78" s="68"/>
    </row>
    <row r="79" customFormat="false" ht="14.25" hidden="false" customHeight="true" outlineLevel="0" collapsed="false">
      <c r="A79" s="68" t="s">
        <v>39</v>
      </c>
      <c r="B79" s="68" t="s">
        <v>40</v>
      </c>
      <c r="C79" s="68" t="n">
        <v>2019</v>
      </c>
      <c r="D79" s="68" t="s">
        <v>797</v>
      </c>
      <c r="E79" s="68" t="s">
        <v>815</v>
      </c>
      <c r="F79" s="68" t="n">
        <v>22309</v>
      </c>
      <c r="G79" s="68" t="n">
        <v>50272</v>
      </c>
      <c r="H79" s="68" t="n">
        <v>115.89</v>
      </c>
      <c r="I79" s="68" t="n">
        <v>61.4</v>
      </c>
      <c r="J79" s="68" t="n">
        <v>2.56</v>
      </c>
      <c r="K79" s="68"/>
    </row>
    <row r="80" customFormat="false" ht="14.25" hidden="false" customHeight="true" outlineLevel="0" collapsed="false">
      <c r="A80" s="68" t="s">
        <v>61</v>
      </c>
      <c r="B80" s="68" t="s">
        <v>62</v>
      </c>
      <c r="C80" s="68" t="n">
        <v>2025</v>
      </c>
      <c r="D80" s="68" t="s">
        <v>805</v>
      </c>
      <c r="E80" s="68" t="s">
        <v>303</v>
      </c>
      <c r="F80" s="68" t="n">
        <v>17750</v>
      </c>
      <c r="G80" s="68" t="n">
        <v>38252</v>
      </c>
      <c r="H80" s="68" t="n">
        <v>137.95</v>
      </c>
      <c r="I80" s="68" t="n">
        <v>52.5</v>
      </c>
      <c r="J80" s="68" t="n">
        <v>2.13</v>
      </c>
      <c r="K80" s="68"/>
    </row>
    <row r="81" customFormat="false" ht="14.25" hidden="false" customHeight="true" outlineLevel="0" collapsed="false">
      <c r="A81" s="68" t="s">
        <v>42</v>
      </c>
      <c r="B81" s="68" t="s">
        <v>814</v>
      </c>
      <c r="C81" s="68" t="n">
        <v>2021</v>
      </c>
      <c r="D81" s="68" t="s">
        <v>797</v>
      </c>
      <c r="E81" s="68" t="s">
        <v>804</v>
      </c>
      <c r="F81" s="68" t="n">
        <v>4267</v>
      </c>
      <c r="G81" s="68" t="n">
        <v>31543</v>
      </c>
      <c r="H81" s="68" t="n">
        <v>110.94</v>
      </c>
      <c r="I81" s="68" t="n">
        <v>35</v>
      </c>
      <c r="J81" s="68" t="n">
        <v>2.53</v>
      </c>
      <c r="K81" s="68"/>
    </row>
    <row r="82" customFormat="false" ht="14.25" hidden="false" customHeight="true" outlineLevel="0" collapsed="false">
      <c r="A82" s="68" t="s">
        <v>42</v>
      </c>
      <c r="B82" s="68" t="s">
        <v>43</v>
      </c>
      <c r="C82" s="68" t="n">
        <v>2021</v>
      </c>
      <c r="D82" s="68" t="s">
        <v>801</v>
      </c>
      <c r="E82" s="68" t="s">
        <v>812</v>
      </c>
      <c r="F82" s="68" t="n">
        <v>9714</v>
      </c>
      <c r="G82" s="68" t="n">
        <v>33107</v>
      </c>
      <c r="H82" s="68" t="n">
        <v>119.85</v>
      </c>
      <c r="I82" s="68" t="n">
        <v>48</v>
      </c>
      <c r="J82" s="68" t="n">
        <v>2.37</v>
      </c>
      <c r="K82" s="68"/>
    </row>
    <row r="83" customFormat="false" ht="14.25" hidden="false" customHeight="true" outlineLevel="0" collapsed="false">
      <c r="A83" s="68" t="s">
        <v>64</v>
      </c>
      <c r="B83" s="68" t="s">
        <v>65</v>
      </c>
      <c r="C83" s="68" t="n">
        <v>2022</v>
      </c>
      <c r="D83" s="68" t="s">
        <v>797</v>
      </c>
      <c r="E83" s="68" t="s">
        <v>822</v>
      </c>
      <c r="F83" s="68" t="n">
        <v>4707</v>
      </c>
      <c r="G83" s="68" t="n">
        <v>11392</v>
      </c>
      <c r="H83" s="68" t="n">
        <v>144.93</v>
      </c>
      <c r="I83" s="68" t="n">
        <v>56.5</v>
      </c>
      <c r="J83" s="68" t="n">
        <v>4.57</v>
      </c>
      <c r="K83" s="68"/>
    </row>
    <row r="84" customFormat="false" ht="14.25" hidden="false" customHeight="true" outlineLevel="0" collapsed="false">
      <c r="A84" s="68" t="s">
        <v>27</v>
      </c>
      <c r="B84" s="68" t="s">
        <v>28</v>
      </c>
      <c r="C84" s="68" t="n">
        <v>2022</v>
      </c>
      <c r="D84" s="68" t="s">
        <v>801</v>
      </c>
      <c r="E84" s="68" t="s">
        <v>803</v>
      </c>
      <c r="F84" s="68" t="n">
        <v>11868</v>
      </c>
      <c r="G84" s="68" t="n">
        <v>20116</v>
      </c>
      <c r="H84" s="68" t="n">
        <v>94.38</v>
      </c>
      <c r="I84" s="68" t="n">
        <v>58.8</v>
      </c>
      <c r="J84" s="68" t="n">
        <v>2.58</v>
      </c>
      <c r="K84" s="68"/>
    </row>
    <row r="85" customFormat="false" ht="14.25" hidden="false" customHeight="true" outlineLevel="0" collapsed="false">
      <c r="A85" s="68" t="s">
        <v>57</v>
      </c>
      <c r="B85" s="68" t="s">
        <v>58</v>
      </c>
      <c r="C85" s="68" t="n">
        <v>2024</v>
      </c>
      <c r="D85" s="68" t="s">
        <v>798</v>
      </c>
      <c r="E85" s="68" t="s">
        <v>808</v>
      </c>
      <c r="F85" s="68" t="n">
        <v>5913</v>
      </c>
      <c r="G85" s="68" t="n">
        <v>11698</v>
      </c>
      <c r="H85" s="68" t="n">
        <v>99.49</v>
      </c>
      <c r="I85" s="68" t="n">
        <v>46.1</v>
      </c>
      <c r="J85" s="68" t="n">
        <v>2.27</v>
      </c>
      <c r="K85" s="68"/>
    </row>
    <row r="86" customFormat="false" ht="14.25" hidden="false" customHeight="true" outlineLevel="0" collapsed="false">
      <c r="A86" s="68" t="s">
        <v>16</v>
      </c>
      <c r="B86" s="68" t="s">
        <v>17</v>
      </c>
      <c r="C86" s="68" t="n">
        <v>2020</v>
      </c>
      <c r="D86" s="68" t="s">
        <v>805</v>
      </c>
      <c r="E86" s="68" t="s">
        <v>824</v>
      </c>
      <c r="F86" s="68" t="n">
        <v>271</v>
      </c>
      <c r="G86" s="68" t="n">
        <v>4178</v>
      </c>
      <c r="H86" s="68" t="n">
        <v>69.79</v>
      </c>
      <c r="I86" s="68" t="n">
        <v>26.2</v>
      </c>
      <c r="J86" s="68" t="n">
        <v>2.33</v>
      </c>
      <c r="K86" s="68"/>
    </row>
    <row r="87" customFormat="false" ht="14.25" hidden="false" customHeight="true" outlineLevel="0" collapsed="false">
      <c r="A87" s="68" t="s">
        <v>57</v>
      </c>
      <c r="B87" s="68" t="s">
        <v>58</v>
      </c>
      <c r="C87" s="68" t="n">
        <v>2022</v>
      </c>
      <c r="D87" s="68" t="s">
        <v>797</v>
      </c>
      <c r="E87" s="68" t="s">
        <v>822</v>
      </c>
      <c r="F87" s="68" t="n">
        <v>5261</v>
      </c>
      <c r="G87" s="68" t="n">
        <v>15711</v>
      </c>
      <c r="H87" s="68" t="n">
        <v>91.84</v>
      </c>
      <c r="I87" s="68" t="n">
        <v>47.7</v>
      </c>
      <c r="J87" s="68" t="n">
        <v>2.56</v>
      </c>
      <c r="K87" s="68"/>
    </row>
    <row r="88" customFormat="false" ht="14.25" hidden="false" customHeight="true" outlineLevel="0" collapsed="false">
      <c r="A88" s="68" t="s">
        <v>42</v>
      </c>
      <c r="B88" s="68" t="s">
        <v>43</v>
      </c>
      <c r="C88" s="68" t="n">
        <v>2025</v>
      </c>
      <c r="D88" s="68" t="s">
        <v>805</v>
      </c>
      <c r="E88" s="68" t="s">
        <v>303</v>
      </c>
      <c r="F88" s="68" t="n">
        <v>41106</v>
      </c>
      <c r="G88" s="68" t="n">
        <v>71897</v>
      </c>
      <c r="H88" s="68" t="n">
        <v>179.21</v>
      </c>
      <c r="I88" s="68" t="n">
        <v>59.8</v>
      </c>
      <c r="J88" s="68" t="n">
        <v>2.32</v>
      </c>
      <c r="K88" s="68"/>
    </row>
    <row r="89" customFormat="false" ht="14.25" hidden="false" customHeight="true" outlineLevel="0" collapsed="false">
      <c r="A89" s="68" t="s">
        <v>57</v>
      </c>
      <c r="B89" s="68" t="s">
        <v>58</v>
      </c>
      <c r="C89" s="68" t="n">
        <v>2021</v>
      </c>
      <c r="D89" s="68" t="s">
        <v>805</v>
      </c>
      <c r="E89" s="68" t="s">
        <v>806</v>
      </c>
      <c r="F89" s="68" t="n">
        <v>692</v>
      </c>
      <c r="G89" s="68" t="n">
        <v>5718</v>
      </c>
      <c r="H89" s="68" t="n">
        <v>70.18</v>
      </c>
      <c r="I89" s="68" t="n">
        <v>32.2</v>
      </c>
      <c r="J89" s="68" t="n">
        <v>2.38</v>
      </c>
      <c r="K89" s="68"/>
    </row>
    <row r="90" customFormat="false" ht="14.25" hidden="false" customHeight="true" outlineLevel="0" collapsed="false">
      <c r="A90" s="68" t="s">
        <v>16</v>
      </c>
      <c r="B90" s="68" t="s">
        <v>17</v>
      </c>
      <c r="C90" s="68" t="n">
        <v>2019</v>
      </c>
      <c r="D90" s="68" t="s">
        <v>797</v>
      </c>
      <c r="E90" s="68" t="s">
        <v>815</v>
      </c>
      <c r="F90" s="68" t="n">
        <v>6528</v>
      </c>
      <c r="G90" s="68" t="n">
        <v>15583</v>
      </c>
      <c r="H90" s="68" t="n">
        <v>84.88</v>
      </c>
      <c r="I90" s="68" t="n">
        <v>62.1</v>
      </c>
      <c r="J90" s="68" t="n">
        <v>2.63</v>
      </c>
      <c r="K90" s="68"/>
    </row>
    <row r="91" customFormat="false" ht="14.25" hidden="false" customHeight="true" outlineLevel="0" collapsed="false">
      <c r="A91" s="68" t="s">
        <v>16</v>
      </c>
      <c r="B91" s="68" t="s">
        <v>17</v>
      </c>
      <c r="C91" s="68" t="n">
        <v>2024</v>
      </c>
      <c r="D91" s="68" t="s">
        <v>801</v>
      </c>
      <c r="E91" s="68" t="s">
        <v>301</v>
      </c>
      <c r="F91" s="68" t="n">
        <v>7706</v>
      </c>
      <c r="G91" s="68" t="n">
        <v>14070</v>
      </c>
      <c r="H91" s="68" t="n">
        <v>109.02</v>
      </c>
      <c r="I91" s="68" t="n">
        <v>53.3</v>
      </c>
      <c r="J91" s="68" t="n">
        <v>2.48</v>
      </c>
      <c r="K91" s="68"/>
    </row>
    <row r="92" customFormat="false" ht="14.25" hidden="false" customHeight="true" outlineLevel="0" collapsed="false">
      <c r="A92" s="68" t="s">
        <v>35</v>
      </c>
      <c r="B92" s="68" t="s">
        <v>36</v>
      </c>
      <c r="C92" s="68" t="n">
        <v>2021</v>
      </c>
      <c r="D92" s="68" t="s">
        <v>797</v>
      </c>
      <c r="E92" s="68" t="s">
        <v>804</v>
      </c>
      <c r="F92" s="68" t="n">
        <v>1420</v>
      </c>
      <c r="G92" s="68" t="n">
        <v>10664</v>
      </c>
      <c r="H92" s="68" t="n">
        <v>89.46</v>
      </c>
      <c r="I92" s="68" t="n">
        <v>35.9</v>
      </c>
      <c r="J92" s="68" t="n">
        <v>2.55</v>
      </c>
      <c r="K92" s="68"/>
    </row>
    <row r="93" customFormat="false" ht="14.25" hidden="false" customHeight="true" outlineLevel="0" collapsed="false">
      <c r="A93" s="68" t="s">
        <v>16</v>
      </c>
      <c r="B93" s="68" t="s">
        <v>17</v>
      </c>
      <c r="C93" s="68" t="n">
        <v>2019</v>
      </c>
      <c r="D93" s="68" t="s">
        <v>805</v>
      </c>
      <c r="E93" s="68" t="s">
        <v>817</v>
      </c>
      <c r="F93" s="68" t="n">
        <v>4516</v>
      </c>
      <c r="G93" s="68" t="n">
        <v>10009</v>
      </c>
      <c r="H93" s="68" t="n">
        <v>86.63</v>
      </c>
      <c r="I93" s="68" t="n">
        <v>54.5</v>
      </c>
      <c r="J93" s="68" t="n">
        <v>2.19</v>
      </c>
      <c r="K93" s="68"/>
    </row>
    <row r="94" customFormat="false" ht="14.25" hidden="false" customHeight="true" outlineLevel="0" collapsed="false">
      <c r="A94" s="68" t="s">
        <v>16</v>
      </c>
      <c r="B94" s="68" t="s">
        <v>17</v>
      </c>
      <c r="C94" s="68" t="n">
        <v>2019</v>
      </c>
      <c r="D94" s="68" t="s">
        <v>798</v>
      </c>
      <c r="E94" s="68" t="s">
        <v>799</v>
      </c>
      <c r="F94" s="68" t="n">
        <v>3285</v>
      </c>
      <c r="G94" s="68" t="n">
        <v>8434</v>
      </c>
      <c r="H94" s="68" t="n">
        <v>100.32</v>
      </c>
      <c r="I94" s="68" t="n">
        <v>42</v>
      </c>
      <c r="J94" s="68" t="n">
        <v>2.3</v>
      </c>
      <c r="K94" s="68"/>
    </row>
    <row r="95" customFormat="false" ht="14.25" hidden="false" customHeight="true" outlineLevel="0" collapsed="false">
      <c r="A95" s="68" t="s">
        <v>16</v>
      </c>
      <c r="B95" s="68" t="s">
        <v>17</v>
      </c>
      <c r="C95" s="68" t="n">
        <v>2020</v>
      </c>
      <c r="D95" s="68" t="s">
        <v>797</v>
      </c>
      <c r="E95" s="68" t="s">
        <v>813</v>
      </c>
      <c r="F95" s="68" t="n">
        <v>3470</v>
      </c>
      <c r="G95" s="68" t="n">
        <v>12051</v>
      </c>
      <c r="H95" s="68" t="n">
        <v>101.62</v>
      </c>
      <c r="I95" s="68" t="n">
        <v>49.1</v>
      </c>
      <c r="J95" s="68" t="n">
        <v>2.66</v>
      </c>
      <c r="K95" s="68"/>
    </row>
    <row r="96" customFormat="false" ht="14.25" hidden="false" customHeight="true" outlineLevel="0" collapsed="false">
      <c r="A96" s="68" t="s">
        <v>39</v>
      </c>
      <c r="B96" s="68" t="s">
        <v>40</v>
      </c>
      <c r="C96" s="68" t="n">
        <v>2019</v>
      </c>
      <c r="D96" s="68" t="s">
        <v>805</v>
      </c>
      <c r="E96" s="68" t="s">
        <v>817</v>
      </c>
      <c r="F96" s="68" t="n">
        <v>17031</v>
      </c>
      <c r="G96" s="68" t="n">
        <v>33510</v>
      </c>
      <c r="H96" s="68" t="n">
        <v>113.14</v>
      </c>
      <c r="I96" s="68" t="n">
        <v>54.8</v>
      </c>
      <c r="J96" s="68" t="n">
        <v>2.4</v>
      </c>
      <c r="K96" s="68"/>
    </row>
    <row r="97" customFormat="false" ht="14.25" hidden="false" customHeight="true" outlineLevel="0" collapsed="false">
      <c r="A97" s="68" t="s">
        <v>57</v>
      </c>
      <c r="B97" s="68" t="s">
        <v>58</v>
      </c>
      <c r="C97" s="68" t="n">
        <v>2025</v>
      </c>
      <c r="D97" s="68" t="s">
        <v>798</v>
      </c>
      <c r="E97" s="68" t="s">
        <v>304</v>
      </c>
      <c r="F97" s="68" t="n">
        <v>5349</v>
      </c>
      <c r="G97" s="68" t="n">
        <v>11571</v>
      </c>
      <c r="H97" s="68" t="n">
        <v>115.65</v>
      </c>
      <c r="I97" s="68" t="n">
        <v>51.9</v>
      </c>
      <c r="J97" s="68" t="n">
        <v>2.24</v>
      </c>
      <c r="K97" s="68"/>
    </row>
    <row r="98" customFormat="false" ht="14.25" hidden="false" customHeight="true" outlineLevel="0" collapsed="false">
      <c r="A98" s="68" t="s">
        <v>42</v>
      </c>
      <c r="B98" s="68" t="s">
        <v>43</v>
      </c>
      <c r="C98" s="68" t="n">
        <v>2023</v>
      </c>
      <c r="D98" s="68" t="s">
        <v>797</v>
      </c>
      <c r="E98" s="68" t="s">
        <v>820</v>
      </c>
      <c r="F98" s="68" t="n">
        <v>42001</v>
      </c>
      <c r="G98" s="68" t="n">
        <v>84230</v>
      </c>
      <c r="H98" s="68"/>
      <c r="I98" s="68" t="n">
        <v>74.4</v>
      </c>
      <c r="J98" s="68" t="n">
        <v>2.6</v>
      </c>
      <c r="K98" s="68"/>
    </row>
    <row r="99" customFormat="false" ht="14.25" hidden="false" customHeight="true" outlineLevel="0" collapsed="false">
      <c r="A99" s="68" t="s">
        <v>61</v>
      </c>
      <c r="B99" s="68" t="s">
        <v>62</v>
      </c>
      <c r="C99" s="68" t="n">
        <v>2022</v>
      </c>
      <c r="D99" s="68" t="s">
        <v>797</v>
      </c>
      <c r="E99" s="68" t="s">
        <v>822</v>
      </c>
      <c r="F99" s="68" t="n">
        <v>11298</v>
      </c>
      <c r="G99" s="68" t="n">
        <v>35163</v>
      </c>
      <c r="H99" s="68" t="n">
        <v>105.09</v>
      </c>
      <c r="I99" s="68" t="n">
        <v>52.7</v>
      </c>
      <c r="J99" s="68" t="n">
        <v>2.53</v>
      </c>
      <c r="K99" s="68"/>
    </row>
    <row r="100" customFormat="false" ht="14.25" hidden="false" customHeight="true" outlineLevel="0" collapsed="false">
      <c r="A100" s="68" t="s">
        <v>16</v>
      </c>
      <c r="B100" s="68" t="s">
        <v>17</v>
      </c>
      <c r="C100" s="68" t="n">
        <v>2024</v>
      </c>
      <c r="D100" s="68" t="s">
        <v>798</v>
      </c>
      <c r="E100" s="68" t="s">
        <v>808</v>
      </c>
      <c r="F100" s="68" t="n">
        <v>4255</v>
      </c>
      <c r="G100" s="68" t="n">
        <v>10342</v>
      </c>
      <c r="H100" s="68" t="n">
        <v>123.31</v>
      </c>
      <c r="I100" s="68" t="n">
        <v>52.1</v>
      </c>
      <c r="J100" s="68" t="n">
        <v>2.21</v>
      </c>
      <c r="K100" s="68"/>
    </row>
    <row r="101" customFormat="false" ht="14.25" hidden="false" customHeight="true" outlineLevel="0" collapsed="false">
      <c r="A101" s="68" t="s">
        <v>35</v>
      </c>
      <c r="B101" s="68" t="s">
        <v>36</v>
      </c>
      <c r="C101" s="68" t="n">
        <v>2025</v>
      </c>
      <c r="D101" s="68" t="s">
        <v>797</v>
      </c>
      <c r="E101" s="68" t="s">
        <v>302</v>
      </c>
      <c r="F101" s="68" t="n">
        <v>16060</v>
      </c>
      <c r="G101" s="68" t="n">
        <v>31818</v>
      </c>
      <c r="H101" s="68" t="n">
        <v>125.01</v>
      </c>
      <c r="I101" s="68" t="n">
        <v>71.9</v>
      </c>
      <c r="J101" s="68" t="n">
        <v>2.64</v>
      </c>
      <c r="K101" s="68"/>
    </row>
    <row r="102" customFormat="false" ht="14.25" hidden="false" customHeight="true" outlineLevel="0" collapsed="false">
      <c r="A102" s="68" t="s">
        <v>22</v>
      </c>
      <c r="B102" s="68" t="s">
        <v>23</v>
      </c>
      <c r="C102" s="68" t="n">
        <v>2025</v>
      </c>
      <c r="D102" s="68" t="s">
        <v>798</v>
      </c>
      <c r="E102" s="68" t="s">
        <v>304</v>
      </c>
      <c r="F102" s="68" t="n">
        <v>4861</v>
      </c>
      <c r="G102" s="68" t="n">
        <v>9388</v>
      </c>
      <c r="H102" s="68" t="n">
        <v>129.77</v>
      </c>
      <c r="I102" s="68" t="n">
        <v>53.4</v>
      </c>
      <c r="J102" s="68" t="n">
        <v>2.25</v>
      </c>
      <c r="K102" s="68"/>
    </row>
    <row r="103" customFormat="false" ht="14.25" hidden="false" customHeight="true" outlineLevel="0" collapsed="false">
      <c r="A103" s="68" t="s">
        <v>22</v>
      </c>
      <c r="B103" s="68" t="s">
        <v>23</v>
      </c>
      <c r="C103" s="68" t="n">
        <v>2024</v>
      </c>
      <c r="D103" s="68" t="s">
        <v>798</v>
      </c>
      <c r="E103" s="68" t="s">
        <v>808</v>
      </c>
      <c r="F103" s="68" t="n">
        <v>4391</v>
      </c>
      <c r="G103" s="68" t="n">
        <v>9557</v>
      </c>
      <c r="H103" s="68" t="n">
        <v>106.57</v>
      </c>
      <c r="I103" s="68" t="n">
        <v>50.6</v>
      </c>
      <c r="J103" s="68" t="n">
        <v>2.41</v>
      </c>
      <c r="K103" s="68"/>
    </row>
    <row r="104" customFormat="false" ht="14.25" hidden="false" customHeight="true" outlineLevel="0" collapsed="false">
      <c r="A104" s="68" t="s">
        <v>53</v>
      </c>
      <c r="B104" s="68" t="s">
        <v>54</v>
      </c>
      <c r="C104" s="68" t="n">
        <v>2024</v>
      </c>
      <c r="D104" s="68" t="s">
        <v>798</v>
      </c>
      <c r="E104" s="68" t="s">
        <v>808</v>
      </c>
      <c r="F104" s="68" t="n">
        <v>7935</v>
      </c>
      <c r="G104" s="68" t="n">
        <v>16168</v>
      </c>
      <c r="H104" s="68"/>
      <c r="I104" s="68" t="n">
        <v>55.2</v>
      </c>
      <c r="J104" s="68" t="n">
        <v>2.35</v>
      </c>
      <c r="K104" s="68"/>
    </row>
    <row r="105" customFormat="false" ht="14.25" hidden="false" customHeight="true" outlineLevel="0" collapsed="false">
      <c r="A105" s="68" t="s">
        <v>27</v>
      </c>
      <c r="B105" s="68" t="s">
        <v>28</v>
      </c>
      <c r="C105" s="68" t="n">
        <v>2019</v>
      </c>
      <c r="D105" s="68" t="s">
        <v>797</v>
      </c>
      <c r="E105" s="68" t="s">
        <v>815</v>
      </c>
      <c r="F105" s="68" t="n">
        <v>10977</v>
      </c>
      <c r="G105" s="68" t="n">
        <v>25530</v>
      </c>
      <c r="H105" s="68" t="n">
        <v>109.12</v>
      </c>
      <c r="I105" s="68" t="n">
        <v>65.2</v>
      </c>
      <c r="J105" s="68" t="n">
        <v>2.47</v>
      </c>
      <c r="K105" s="68"/>
    </row>
    <row r="106" customFormat="false" ht="14.25" hidden="false" customHeight="true" outlineLevel="0" collapsed="false">
      <c r="A106" s="68" t="s">
        <v>35</v>
      </c>
      <c r="B106" s="68" t="s">
        <v>36</v>
      </c>
      <c r="C106" s="68" t="n">
        <v>2020</v>
      </c>
      <c r="D106" s="68" t="s">
        <v>801</v>
      </c>
      <c r="E106" s="68" t="s">
        <v>810</v>
      </c>
      <c r="F106" s="68" t="n">
        <v>454</v>
      </c>
      <c r="G106" s="68" t="n">
        <v>7360</v>
      </c>
      <c r="H106" s="68" t="n">
        <v>82.27</v>
      </c>
      <c r="I106" s="68" t="n">
        <v>28.5</v>
      </c>
      <c r="J106" s="68" t="n">
        <v>2.5</v>
      </c>
      <c r="K106" s="68"/>
    </row>
    <row r="107" customFormat="false" ht="14.25" hidden="false" customHeight="true" outlineLevel="0" collapsed="false">
      <c r="A107" s="68" t="s">
        <v>50</v>
      </c>
      <c r="B107" s="68" t="s">
        <v>51</v>
      </c>
      <c r="C107" s="68" t="n">
        <v>2022</v>
      </c>
      <c r="D107" s="68" t="s">
        <v>798</v>
      </c>
      <c r="E107" s="68" t="s">
        <v>807</v>
      </c>
      <c r="F107" s="68" t="n">
        <v>3466</v>
      </c>
      <c r="G107" s="68" t="n">
        <v>10057</v>
      </c>
      <c r="H107" s="68" t="n">
        <v>130.43</v>
      </c>
      <c r="I107" s="68" t="n">
        <v>52.3</v>
      </c>
      <c r="J107" s="68" t="n">
        <v>2.23</v>
      </c>
      <c r="K107" s="68"/>
    </row>
    <row r="108" customFormat="false" ht="14.25" hidden="false" customHeight="true" outlineLevel="0" collapsed="false">
      <c r="A108" s="68" t="s">
        <v>64</v>
      </c>
      <c r="B108" s="68" t="s">
        <v>65</v>
      </c>
      <c r="C108" s="68" t="n">
        <v>2023</v>
      </c>
      <c r="D108" s="68" t="s">
        <v>801</v>
      </c>
      <c r="E108" s="68" t="s">
        <v>802</v>
      </c>
      <c r="F108" s="68" t="n">
        <v>3224</v>
      </c>
      <c r="G108" s="68" t="n">
        <v>8455</v>
      </c>
      <c r="H108" s="68" t="n">
        <v>139.14</v>
      </c>
      <c r="I108" s="68" t="n">
        <v>48.7</v>
      </c>
      <c r="J108" s="68" t="n">
        <v>4.08</v>
      </c>
      <c r="K108" s="68"/>
    </row>
    <row r="109" customFormat="false" ht="14.25" hidden="false" customHeight="true" outlineLevel="0" collapsed="false">
      <c r="A109" s="68" t="s">
        <v>50</v>
      </c>
      <c r="B109" s="68" t="s">
        <v>51</v>
      </c>
      <c r="C109" s="68" t="n">
        <v>2020</v>
      </c>
      <c r="D109" s="68" t="s">
        <v>801</v>
      </c>
      <c r="E109" s="68" t="s">
        <v>810</v>
      </c>
      <c r="F109" s="68" t="n">
        <v>354</v>
      </c>
      <c r="G109" s="68" t="n">
        <v>5785</v>
      </c>
      <c r="H109" s="68" t="n">
        <v>96.85</v>
      </c>
      <c r="I109" s="68" t="n">
        <v>33.3</v>
      </c>
      <c r="J109" s="68" t="n">
        <v>2.69</v>
      </c>
      <c r="K109" s="68"/>
    </row>
    <row r="110" customFormat="false" ht="14.25" hidden="false" customHeight="true" outlineLevel="0" collapsed="false">
      <c r="A110" s="68" t="s">
        <v>22</v>
      </c>
      <c r="B110" s="68" t="s">
        <v>23</v>
      </c>
      <c r="C110" s="68" t="n">
        <v>2022</v>
      </c>
      <c r="D110" s="68" t="s">
        <v>801</v>
      </c>
      <c r="E110" s="68" t="s">
        <v>803</v>
      </c>
      <c r="F110" s="68" t="n">
        <v>5555</v>
      </c>
      <c r="G110" s="68" t="n">
        <v>14161</v>
      </c>
      <c r="H110" s="68" t="n">
        <v>91.89</v>
      </c>
      <c r="I110" s="68" t="n">
        <v>63.3</v>
      </c>
      <c r="J110" s="68" t="n">
        <v>2.34</v>
      </c>
      <c r="K110" s="68"/>
    </row>
    <row r="111" customFormat="false" ht="14.25" hidden="false" customHeight="true" outlineLevel="0" collapsed="false">
      <c r="A111" s="68" t="s">
        <v>53</v>
      </c>
      <c r="B111" s="68" t="s">
        <v>54</v>
      </c>
      <c r="C111" s="68" t="n">
        <v>2019</v>
      </c>
      <c r="D111" s="68" t="s">
        <v>801</v>
      </c>
      <c r="E111" s="68" t="s">
        <v>823</v>
      </c>
      <c r="F111" s="68" t="n">
        <v>8588</v>
      </c>
      <c r="G111" s="68" t="n">
        <v>21387</v>
      </c>
      <c r="H111" s="68" t="n">
        <v>111.24</v>
      </c>
      <c r="I111" s="68" t="n">
        <v>66.3</v>
      </c>
      <c r="J111" s="68" t="n">
        <v>2.34</v>
      </c>
      <c r="K111" s="68"/>
    </row>
    <row r="112" customFormat="false" ht="14.25" hidden="false" customHeight="true" outlineLevel="0" collapsed="false">
      <c r="A112" s="68" t="s">
        <v>27</v>
      </c>
      <c r="B112" s="68" t="s">
        <v>28</v>
      </c>
      <c r="C112" s="68" t="n">
        <v>2024</v>
      </c>
      <c r="D112" s="68" t="s">
        <v>805</v>
      </c>
      <c r="E112" s="68" t="s">
        <v>811</v>
      </c>
      <c r="F112" s="68" t="n">
        <v>9495</v>
      </c>
      <c r="G112" s="68" t="n">
        <v>23504</v>
      </c>
      <c r="H112" s="68" t="n">
        <v>119.28</v>
      </c>
      <c r="I112" s="68" t="n">
        <v>58.6</v>
      </c>
      <c r="J112" s="68" t="n">
        <v>2.54</v>
      </c>
      <c r="K112" s="68"/>
    </row>
    <row r="113" customFormat="false" ht="14.25" hidden="false" customHeight="true" outlineLevel="0" collapsed="false">
      <c r="A113" s="68" t="s">
        <v>31</v>
      </c>
      <c r="B113" s="68" t="s">
        <v>32</v>
      </c>
      <c r="C113" s="68" t="n">
        <v>2020</v>
      </c>
      <c r="D113" s="68" t="s">
        <v>798</v>
      </c>
      <c r="E113" s="68" t="s">
        <v>816</v>
      </c>
      <c r="F113" s="68" t="n">
        <v>260</v>
      </c>
      <c r="G113" s="68" t="n">
        <v>4088</v>
      </c>
      <c r="H113" s="68" t="n">
        <v>79.44</v>
      </c>
      <c r="I113" s="68" t="n">
        <v>26.8</v>
      </c>
      <c r="J113" s="68" t="n">
        <v>2.18</v>
      </c>
      <c r="K113" s="68"/>
    </row>
    <row r="114" customFormat="false" ht="14.25" hidden="false" customHeight="true" outlineLevel="0" collapsed="false">
      <c r="A114" s="68" t="s">
        <v>50</v>
      </c>
      <c r="B114" s="68" t="s">
        <v>51</v>
      </c>
      <c r="C114" s="68" t="n">
        <v>2024</v>
      </c>
      <c r="D114" s="68" t="s">
        <v>805</v>
      </c>
      <c r="E114" s="68" t="s">
        <v>811</v>
      </c>
      <c r="F114" s="68" t="n">
        <v>8047</v>
      </c>
      <c r="G114" s="68" t="n">
        <v>15596</v>
      </c>
      <c r="H114" s="68" t="n">
        <v>152.58</v>
      </c>
      <c r="I114" s="68" t="n">
        <v>58.8</v>
      </c>
      <c r="J114" s="68" t="n">
        <v>2.43</v>
      </c>
      <c r="K114" s="68"/>
    </row>
    <row r="115" customFormat="false" ht="14.25" hidden="false" customHeight="true" outlineLevel="0" collapsed="false">
      <c r="A115" s="68" t="s">
        <v>35</v>
      </c>
      <c r="B115" s="68" t="s">
        <v>36</v>
      </c>
      <c r="C115" s="68" t="n">
        <v>2021</v>
      </c>
      <c r="D115" s="68" t="s">
        <v>798</v>
      </c>
      <c r="E115" s="68" t="s">
        <v>818</v>
      </c>
      <c r="F115" s="68" t="n">
        <v>1858</v>
      </c>
      <c r="G115" s="68" t="n">
        <v>9495</v>
      </c>
      <c r="H115" s="68" t="n">
        <v>84.86</v>
      </c>
      <c r="I115" s="68" t="n">
        <v>39.2</v>
      </c>
      <c r="J115" s="68" t="n">
        <v>2.21</v>
      </c>
      <c r="K115" s="68"/>
    </row>
    <row r="116" customFormat="false" ht="14.25" hidden="false" customHeight="true" outlineLevel="0" collapsed="false">
      <c r="A116" s="68" t="s">
        <v>61</v>
      </c>
      <c r="B116" s="68" t="s">
        <v>62</v>
      </c>
      <c r="C116" s="68" t="n">
        <v>2024</v>
      </c>
      <c r="D116" s="68" t="s">
        <v>801</v>
      </c>
      <c r="E116" s="68" t="s">
        <v>301</v>
      </c>
      <c r="F116" s="68" t="n">
        <v>17288</v>
      </c>
      <c r="G116" s="68" t="n">
        <v>43246</v>
      </c>
      <c r="H116" s="68" t="n">
        <v>131.53</v>
      </c>
      <c r="I116" s="68" t="n">
        <v>55.9</v>
      </c>
      <c r="J116" s="68" t="n">
        <v>2.47</v>
      </c>
      <c r="K116" s="68"/>
    </row>
    <row r="117" customFormat="false" ht="14.25" hidden="false" customHeight="true" outlineLevel="0" collapsed="false">
      <c r="A117" s="68" t="s">
        <v>42</v>
      </c>
      <c r="B117" s="68" t="s">
        <v>43</v>
      </c>
      <c r="C117" s="68" t="n">
        <v>2025</v>
      </c>
      <c r="D117" s="68" t="s">
        <v>797</v>
      </c>
      <c r="E117" s="68" t="s">
        <v>302</v>
      </c>
      <c r="F117" s="68" t="n">
        <v>55042</v>
      </c>
      <c r="G117" s="68" t="n">
        <v>101196</v>
      </c>
      <c r="H117" s="68" t="n">
        <v>173.46</v>
      </c>
      <c r="I117" s="68" t="n">
        <v>69</v>
      </c>
      <c r="J117" s="68" t="n">
        <v>2.68</v>
      </c>
      <c r="K117" s="68"/>
    </row>
    <row r="118" customFormat="false" ht="14.25" hidden="false" customHeight="true" outlineLevel="0" collapsed="false">
      <c r="A118" s="68" t="s">
        <v>46</v>
      </c>
      <c r="B118" s="68" t="s">
        <v>47</v>
      </c>
      <c r="C118" s="68" t="n">
        <v>2025</v>
      </c>
      <c r="D118" s="68" t="s">
        <v>798</v>
      </c>
      <c r="E118" s="68" t="s">
        <v>304</v>
      </c>
      <c r="F118" s="68" t="n">
        <v>4624</v>
      </c>
      <c r="G118" s="68" t="n">
        <v>9837</v>
      </c>
      <c r="H118" s="68" t="n">
        <v>102.23</v>
      </c>
      <c r="I118" s="68" t="n">
        <v>50.9</v>
      </c>
      <c r="J118" s="68" t="n">
        <v>2.15</v>
      </c>
      <c r="K118" s="68"/>
    </row>
    <row r="119" customFormat="false" ht="14.25" hidden="false" customHeight="true" outlineLevel="0" collapsed="false">
      <c r="A119" s="68" t="s">
        <v>42</v>
      </c>
      <c r="B119" s="68" t="s">
        <v>43</v>
      </c>
      <c r="C119" s="68" t="n">
        <v>2020</v>
      </c>
      <c r="D119" s="68" t="s">
        <v>797</v>
      </c>
      <c r="E119" s="68" t="s">
        <v>813</v>
      </c>
      <c r="F119" s="68" t="n">
        <v>17110</v>
      </c>
      <c r="G119" s="68" t="n">
        <v>52957</v>
      </c>
      <c r="H119" s="68" t="n">
        <v>110.33</v>
      </c>
      <c r="I119" s="68" t="n">
        <v>51.2</v>
      </c>
      <c r="J119" s="68" t="n">
        <v>2.64</v>
      </c>
      <c r="K119" s="68"/>
    </row>
    <row r="120" customFormat="false" ht="14.25" hidden="false" customHeight="true" outlineLevel="0" collapsed="false">
      <c r="A120" s="68" t="s">
        <v>50</v>
      </c>
      <c r="B120" s="68" t="s">
        <v>51</v>
      </c>
      <c r="C120" s="68" t="n">
        <v>2021</v>
      </c>
      <c r="D120" s="68" t="s">
        <v>797</v>
      </c>
      <c r="E120" s="68" t="s">
        <v>804</v>
      </c>
      <c r="F120" s="68" t="n">
        <v>763</v>
      </c>
      <c r="G120" s="68" t="n">
        <v>8674</v>
      </c>
      <c r="H120" s="68" t="n">
        <v>109.4</v>
      </c>
      <c r="I120" s="68" t="n">
        <v>39.8</v>
      </c>
      <c r="J120" s="68" t="n">
        <v>2.56</v>
      </c>
      <c r="K120" s="68"/>
    </row>
    <row r="121" customFormat="false" ht="14.25" hidden="false" customHeight="true" outlineLevel="0" collapsed="false">
      <c r="A121" s="68" t="s">
        <v>22</v>
      </c>
      <c r="B121" s="68" t="s">
        <v>23</v>
      </c>
      <c r="C121" s="68" t="n">
        <v>2020</v>
      </c>
      <c r="D121" s="68" t="s">
        <v>798</v>
      </c>
      <c r="E121" s="68" t="s">
        <v>816</v>
      </c>
      <c r="F121" s="68" t="n">
        <v>227</v>
      </c>
      <c r="G121" s="68" t="n">
        <v>3324</v>
      </c>
      <c r="H121" s="68" t="n">
        <v>68.52</v>
      </c>
      <c r="I121" s="68" t="n">
        <v>29.3</v>
      </c>
      <c r="J121" s="68" t="n">
        <v>2.17</v>
      </c>
      <c r="K121" s="68"/>
    </row>
    <row r="122" customFormat="false" ht="14.25" hidden="false" customHeight="true" outlineLevel="0" collapsed="false">
      <c r="A122" s="68" t="s">
        <v>61</v>
      </c>
      <c r="B122" s="68" t="s">
        <v>62</v>
      </c>
      <c r="C122" s="68" t="n">
        <v>2023</v>
      </c>
      <c r="D122" s="68" t="s">
        <v>798</v>
      </c>
      <c r="E122" s="68" t="s">
        <v>800</v>
      </c>
      <c r="F122" s="68" t="n">
        <v>10715</v>
      </c>
      <c r="G122" s="68" t="n">
        <v>30785</v>
      </c>
      <c r="H122" s="68" t="n">
        <v>128.41</v>
      </c>
      <c r="I122" s="68" t="n">
        <v>45.8</v>
      </c>
      <c r="J122" s="68" t="n">
        <v>2.16</v>
      </c>
      <c r="K122" s="68"/>
    </row>
    <row r="123" customFormat="false" ht="14.25" hidden="false" customHeight="true" outlineLevel="0" collapsed="false">
      <c r="A123" s="68" t="s">
        <v>55</v>
      </c>
      <c r="B123" s="68" t="s">
        <v>56</v>
      </c>
      <c r="C123" s="68" t="n">
        <v>2022</v>
      </c>
      <c r="D123" s="68" t="s">
        <v>805</v>
      </c>
      <c r="E123" s="68" t="s">
        <v>819</v>
      </c>
      <c r="F123" s="68" t="n">
        <v>5781</v>
      </c>
      <c r="G123" s="68" t="n">
        <v>19203</v>
      </c>
      <c r="H123" s="68" t="n">
        <v>93.56</v>
      </c>
      <c r="I123" s="68" t="n">
        <v>40.5</v>
      </c>
      <c r="J123" s="68" t="n">
        <v>2.38</v>
      </c>
      <c r="K123" s="68"/>
    </row>
    <row r="124" customFormat="false" ht="14.25" hidden="false" customHeight="true" outlineLevel="0" collapsed="false">
      <c r="A124" s="68" t="s">
        <v>67</v>
      </c>
      <c r="B124" s="68" t="s">
        <v>68</v>
      </c>
      <c r="C124" s="68" t="n">
        <v>2024</v>
      </c>
      <c r="D124" s="68" t="s">
        <v>805</v>
      </c>
      <c r="E124" s="68" t="s">
        <v>811</v>
      </c>
      <c r="F124" s="68" t="n">
        <v>4779</v>
      </c>
      <c r="G124" s="68" t="n">
        <v>7679</v>
      </c>
      <c r="H124" s="68" t="n">
        <v>202.97</v>
      </c>
      <c r="I124" s="68" t="n">
        <v>38.2</v>
      </c>
      <c r="J124" s="68" t="n">
        <v>3.61</v>
      </c>
      <c r="K124" s="68"/>
    </row>
    <row r="125" customFormat="false" ht="14.25" hidden="false" customHeight="true" outlineLevel="0" collapsed="false">
      <c r="A125" s="68" t="s">
        <v>55</v>
      </c>
      <c r="B125" s="68" t="s">
        <v>825</v>
      </c>
      <c r="C125" s="68" t="n">
        <v>2020</v>
      </c>
      <c r="D125" s="68" t="s">
        <v>798</v>
      </c>
      <c r="E125" s="68" t="s">
        <v>816</v>
      </c>
      <c r="F125" s="68" t="n">
        <v>329</v>
      </c>
      <c r="G125" s="68" t="n">
        <v>6912</v>
      </c>
      <c r="H125" s="68" t="n">
        <v>63.4</v>
      </c>
      <c r="I125" s="68" t="n">
        <v>27.2</v>
      </c>
      <c r="J125" s="68" t="n">
        <v>2.02</v>
      </c>
      <c r="K125" s="68"/>
    </row>
    <row r="126" customFormat="false" ht="14.25" hidden="false" customHeight="true" outlineLevel="0" collapsed="false">
      <c r="A126" s="68" t="s">
        <v>61</v>
      </c>
      <c r="B126" s="68" t="s">
        <v>62</v>
      </c>
      <c r="C126" s="68" t="n">
        <v>2019</v>
      </c>
      <c r="D126" s="68" t="s">
        <v>801</v>
      </c>
      <c r="E126" s="68" t="s">
        <v>823</v>
      </c>
      <c r="F126" s="68" t="n">
        <v>11879</v>
      </c>
      <c r="G126" s="68" t="n">
        <v>29826</v>
      </c>
      <c r="H126" s="68" t="n">
        <v>98.32</v>
      </c>
      <c r="I126" s="68" t="n">
        <v>66.4</v>
      </c>
      <c r="J126" s="68" t="n">
        <v>2.38</v>
      </c>
      <c r="K126" s="68"/>
    </row>
    <row r="127" customFormat="false" ht="14.25" hidden="false" customHeight="true" outlineLevel="0" collapsed="false">
      <c r="A127" s="68" t="s">
        <v>64</v>
      </c>
      <c r="B127" s="68" t="s">
        <v>65</v>
      </c>
      <c r="C127" s="68" t="n">
        <v>2024</v>
      </c>
      <c r="D127" s="68" t="s">
        <v>805</v>
      </c>
      <c r="E127" s="68" t="s">
        <v>811</v>
      </c>
      <c r="F127" s="68" t="n">
        <v>2018</v>
      </c>
      <c r="G127" s="68" t="n">
        <v>4229</v>
      </c>
      <c r="H127" s="68" t="n">
        <v>156.54</v>
      </c>
      <c r="I127" s="68" t="n">
        <v>41.2</v>
      </c>
      <c r="J127" s="68" t="n">
        <v>3.23</v>
      </c>
      <c r="K127" s="68"/>
    </row>
    <row r="128" customFormat="false" ht="14.25" hidden="false" customHeight="true" outlineLevel="0" collapsed="false">
      <c r="A128" s="68" t="s">
        <v>16</v>
      </c>
      <c r="B128" s="68" t="s">
        <v>17</v>
      </c>
      <c r="C128" s="68" t="n">
        <v>2022</v>
      </c>
      <c r="D128" s="68" t="s">
        <v>797</v>
      </c>
      <c r="E128" s="68" t="s">
        <v>822</v>
      </c>
      <c r="F128" s="68" t="n">
        <v>5731</v>
      </c>
      <c r="G128" s="68" t="n">
        <v>14594</v>
      </c>
      <c r="H128" s="68" t="n">
        <v>92.14</v>
      </c>
      <c r="I128" s="68" t="n">
        <v>49.8</v>
      </c>
      <c r="J128" s="68" t="n">
        <v>2.52</v>
      </c>
      <c r="K128" s="68"/>
    </row>
    <row r="129" customFormat="false" ht="14.25" hidden="false" customHeight="true" outlineLevel="0" collapsed="false">
      <c r="A129" s="68" t="s">
        <v>53</v>
      </c>
      <c r="B129" s="68" t="s">
        <v>54</v>
      </c>
      <c r="C129" s="68" t="n">
        <v>2023</v>
      </c>
      <c r="D129" s="68" t="s">
        <v>801</v>
      </c>
      <c r="E129" s="68" t="s">
        <v>802</v>
      </c>
      <c r="F129" s="68" t="n">
        <v>9565</v>
      </c>
      <c r="G129" s="68" t="n">
        <v>22584</v>
      </c>
      <c r="H129" s="68" t="n">
        <v>114.24</v>
      </c>
      <c r="I129" s="68" t="n">
        <v>65.5</v>
      </c>
      <c r="J129" s="68" t="n">
        <v>2.45</v>
      </c>
      <c r="K129" s="68"/>
    </row>
    <row r="130" customFormat="false" ht="14.25" hidden="false" customHeight="true" outlineLevel="0" collapsed="false">
      <c r="A130" s="68" t="s">
        <v>42</v>
      </c>
      <c r="B130" s="68" t="s">
        <v>43</v>
      </c>
      <c r="C130" s="68" t="n">
        <v>2021</v>
      </c>
      <c r="D130" s="68" t="s">
        <v>805</v>
      </c>
      <c r="E130" s="68" t="s">
        <v>806</v>
      </c>
      <c r="F130" s="68" t="n">
        <v>2918</v>
      </c>
      <c r="G130" s="68" t="n">
        <v>22091</v>
      </c>
      <c r="H130" s="68" t="n">
        <v>106.37</v>
      </c>
      <c r="I130" s="68" t="n">
        <v>30</v>
      </c>
      <c r="J130" s="68" t="n">
        <v>2.5</v>
      </c>
      <c r="K130" s="68"/>
    </row>
    <row r="131" customFormat="false" ht="14.25" hidden="false" customHeight="true" outlineLevel="0" collapsed="false">
      <c r="A131" s="68" t="s">
        <v>55</v>
      </c>
      <c r="B131" s="68" t="s">
        <v>56</v>
      </c>
      <c r="C131" s="68" t="n">
        <v>2019</v>
      </c>
      <c r="D131" s="68" t="s">
        <v>805</v>
      </c>
      <c r="E131" s="68" t="s">
        <v>817</v>
      </c>
      <c r="F131" s="68" t="n">
        <v>7881</v>
      </c>
      <c r="G131" s="68" t="n">
        <v>19453</v>
      </c>
      <c r="H131" s="68" t="n">
        <v>80.65</v>
      </c>
      <c r="I131" s="68" t="n">
        <v>54.5</v>
      </c>
      <c r="J131" s="68" t="n">
        <v>2.4</v>
      </c>
      <c r="K131" s="68"/>
    </row>
    <row r="132" customFormat="false" ht="14.25" hidden="false" customHeight="true" outlineLevel="0" collapsed="false">
      <c r="A132" s="68" t="s">
        <v>22</v>
      </c>
      <c r="B132" s="68" t="s">
        <v>23</v>
      </c>
      <c r="C132" s="68" t="n">
        <v>2025</v>
      </c>
      <c r="D132" s="68" t="s">
        <v>797</v>
      </c>
      <c r="E132" s="68" t="s">
        <v>302</v>
      </c>
      <c r="F132" s="68" t="n">
        <v>10073</v>
      </c>
      <c r="G132" s="68" t="n">
        <v>17949</v>
      </c>
      <c r="H132" s="68" t="n">
        <v>111.03</v>
      </c>
      <c r="I132" s="68" t="n">
        <v>60.1</v>
      </c>
      <c r="J132" s="68" t="n">
        <v>2.92</v>
      </c>
      <c r="K132" s="68"/>
    </row>
    <row r="133" customFormat="false" ht="14.25" hidden="false" customHeight="true" outlineLevel="0" collapsed="false">
      <c r="A133" s="68" t="s">
        <v>27</v>
      </c>
      <c r="B133" s="68" t="s">
        <v>28</v>
      </c>
      <c r="C133" s="68" t="n">
        <v>2025</v>
      </c>
      <c r="D133" s="68" t="s">
        <v>805</v>
      </c>
      <c r="E133" s="68" t="s">
        <v>303</v>
      </c>
      <c r="F133" s="68" t="n">
        <v>9919</v>
      </c>
      <c r="G133" s="68" t="n">
        <v>21415</v>
      </c>
      <c r="H133" s="68" t="n">
        <v>121.07</v>
      </c>
      <c r="I133" s="68" t="n">
        <v>55.1</v>
      </c>
      <c r="J133" s="68" t="n">
        <v>2.67</v>
      </c>
      <c r="K133" s="68"/>
    </row>
    <row r="134" customFormat="false" ht="14.25" hidden="false" customHeight="true" outlineLevel="0" collapsed="false">
      <c r="A134" s="68" t="s">
        <v>31</v>
      </c>
      <c r="B134" s="68" t="s">
        <v>32</v>
      </c>
      <c r="C134" s="68" t="n">
        <v>2023</v>
      </c>
      <c r="D134" s="68" t="s">
        <v>805</v>
      </c>
      <c r="E134" s="68" t="s">
        <v>809</v>
      </c>
      <c r="F134" s="68" t="n">
        <v>6732</v>
      </c>
      <c r="G134" s="68" t="n">
        <v>16408</v>
      </c>
      <c r="H134" s="68" t="n">
        <v>112.24</v>
      </c>
      <c r="I134" s="68" t="n">
        <v>49.5</v>
      </c>
      <c r="J134" s="68" t="n">
        <v>2.28</v>
      </c>
      <c r="K134" s="68"/>
    </row>
    <row r="135" customFormat="false" ht="14.25" hidden="false" customHeight="true" outlineLevel="0" collapsed="false">
      <c r="A135" s="68" t="s">
        <v>31</v>
      </c>
      <c r="B135" s="68" t="s">
        <v>32</v>
      </c>
      <c r="C135" s="68" t="n">
        <v>2022</v>
      </c>
      <c r="D135" s="68" t="s">
        <v>798</v>
      </c>
      <c r="E135" s="68" t="s">
        <v>807</v>
      </c>
      <c r="F135" s="68" t="n">
        <v>4509</v>
      </c>
      <c r="G135" s="68" t="n">
        <v>11686</v>
      </c>
      <c r="H135" s="68" t="n">
        <v>106.54</v>
      </c>
      <c r="I135" s="68" t="n">
        <v>45.7</v>
      </c>
      <c r="J135" s="68" t="n">
        <v>2.23</v>
      </c>
      <c r="K135" s="68"/>
    </row>
    <row r="136" customFormat="false" ht="14.25" hidden="false" customHeight="true" outlineLevel="0" collapsed="false">
      <c r="A136" s="68" t="s">
        <v>16</v>
      </c>
      <c r="B136" s="68" t="s">
        <v>17</v>
      </c>
      <c r="C136" s="68" t="n">
        <v>2025</v>
      </c>
      <c r="D136" s="68" t="s">
        <v>797</v>
      </c>
      <c r="E136" s="68" t="s">
        <v>302</v>
      </c>
      <c r="F136" s="68" t="n">
        <v>8168</v>
      </c>
      <c r="G136" s="68" t="n">
        <v>22280</v>
      </c>
      <c r="H136" s="68" t="n">
        <v>132.95</v>
      </c>
      <c r="I136" s="68" t="n">
        <v>59.9</v>
      </c>
      <c r="J136" s="68" t="n">
        <v>2.42</v>
      </c>
      <c r="K136" s="68"/>
    </row>
    <row r="137" customFormat="false" ht="14.25" hidden="false" customHeight="true" outlineLevel="0" collapsed="false">
      <c r="A137" s="68" t="s">
        <v>61</v>
      </c>
      <c r="B137" s="68" t="s">
        <v>62</v>
      </c>
      <c r="C137" s="68" t="n">
        <v>2022</v>
      </c>
      <c r="D137" s="68" t="s">
        <v>798</v>
      </c>
      <c r="E137" s="68" t="s">
        <v>807</v>
      </c>
      <c r="F137" s="68" t="n">
        <v>8267</v>
      </c>
      <c r="G137" s="68" t="n">
        <v>22227</v>
      </c>
      <c r="H137" s="68" t="n">
        <v>118.91</v>
      </c>
      <c r="I137" s="68" t="n">
        <v>49.3</v>
      </c>
      <c r="J137" s="68" t="n">
        <v>2.29</v>
      </c>
      <c r="K137" s="68"/>
    </row>
    <row r="138" customFormat="false" ht="14.25" hidden="false" customHeight="true" outlineLevel="0" collapsed="false">
      <c r="A138" s="68" t="s">
        <v>53</v>
      </c>
      <c r="B138" s="68" t="s">
        <v>54</v>
      </c>
      <c r="C138" s="68" t="n">
        <v>2021</v>
      </c>
      <c r="D138" s="68" t="s">
        <v>797</v>
      </c>
      <c r="E138" s="68" t="s">
        <v>804</v>
      </c>
      <c r="F138" s="68" t="n">
        <v>1311</v>
      </c>
      <c r="G138" s="68" t="n">
        <v>11193</v>
      </c>
      <c r="H138" s="68" t="n">
        <v>88.3</v>
      </c>
      <c r="I138" s="68" t="n">
        <v>40.2</v>
      </c>
      <c r="J138" s="68" t="n">
        <v>2.43</v>
      </c>
      <c r="K138" s="68"/>
    </row>
    <row r="139" customFormat="false" ht="14.25" hidden="false" customHeight="true" outlineLevel="0" collapsed="false">
      <c r="A139" s="68" t="s">
        <v>61</v>
      </c>
      <c r="B139" s="68" t="s">
        <v>62</v>
      </c>
      <c r="C139" s="68" t="n">
        <v>2020</v>
      </c>
      <c r="D139" s="68" t="s">
        <v>805</v>
      </c>
      <c r="E139" s="68" t="s">
        <v>824</v>
      </c>
      <c r="F139" s="68" t="n">
        <v>745</v>
      </c>
      <c r="G139" s="68" t="n">
        <v>11154</v>
      </c>
      <c r="H139" s="68" t="n">
        <v>76.41</v>
      </c>
      <c r="I139" s="68" t="n">
        <v>32.5</v>
      </c>
      <c r="J139" s="68" t="n">
        <v>2.24</v>
      </c>
      <c r="K139" s="68"/>
    </row>
    <row r="140" customFormat="false" ht="14.25" hidden="false" customHeight="true" outlineLevel="0" collapsed="false">
      <c r="A140" s="68" t="s">
        <v>27</v>
      </c>
      <c r="B140" s="68" t="s">
        <v>28</v>
      </c>
      <c r="C140" s="68" t="n">
        <v>2024</v>
      </c>
      <c r="D140" s="68" t="s">
        <v>797</v>
      </c>
      <c r="E140" s="68" t="s">
        <v>821</v>
      </c>
      <c r="F140" s="68" t="n">
        <v>16219</v>
      </c>
      <c r="G140" s="68" t="n">
        <v>30772</v>
      </c>
      <c r="H140" s="68" t="n">
        <v>117.07</v>
      </c>
      <c r="I140" s="68" t="n">
        <v>77.7</v>
      </c>
      <c r="J140" s="68" t="n">
        <v>2.74</v>
      </c>
      <c r="K140" s="68"/>
    </row>
    <row r="141" customFormat="false" ht="14.25" hidden="false" customHeight="true" outlineLevel="0" collapsed="false">
      <c r="A141" s="68" t="s">
        <v>22</v>
      </c>
      <c r="B141" s="68" t="s">
        <v>23</v>
      </c>
      <c r="C141" s="68" t="n">
        <v>2022</v>
      </c>
      <c r="D141" s="68" t="s">
        <v>798</v>
      </c>
      <c r="E141" s="68" t="s">
        <v>807</v>
      </c>
      <c r="F141" s="68" t="n">
        <v>3514</v>
      </c>
      <c r="G141" s="68" t="n">
        <v>8998</v>
      </c>
      <c r="H141" s="68" t="n">
        <v>93.36</v>
      </c>
      <c r="I141" s="68" t="n">
        <v>45.7</v>
      </c>
      <c r="J141" s="68" t="n">
        <v>2.09</v>
      </c>
      <c r="K141" s="68"/>
    </row>
    <row r="142" customFormat="false" ht="14.25" hidden="false" customHeight="true" outlineLevel="0" collapsed="false">
      <c r="A142" s="68" t="s">
        <v>46</v>
      </c>
      <c r="B142" s="68" t="s">
        <v>47</v>
      </c>
      <c r="C142" s="68" t="n">
        <v>2019</v>
      </c>
      <c r="D142" s="68" t="s">
        <v>801</v>
      </c>
      <c r="E142" s="68" t="s">
        <v>823</v>
      </c>
      <c r="F142" s="68" t="n">
        <v>6223</v>
      </c>
      <c r="G142" s="68" t="n">
        <v>13025</v>
      </c>
      <c r="H142" s="68" t="n">
        <v>93.79</v>
      </c>
      <c r="I142" s="68" t="n">
        <v>60.4</v>
      </c>
      <c r="J142" s="68" t="n">
        <v>2.46</v>
      </c>
      <c r="K142" s="68"/>
    </row>
    <row r="143" customFormat="false" ht="14.25" hidden="false" customHeight="true" outlineLevel="0" collapsed="false">
      <c r="A143" s="68" t="s">
        <v>55</v>
      </c>
      <c r="B143" s="68" t="s">
        <v>56</v>
      </c>
      <c r="C143" s="68" t="n">
        <v>2023</v>
      </c>
      <c r="D143" s="68" t="s">
        <v>805</v>
      </c>
      <c r="E143" s="68" t="s">
        <v>809</v>
      </c>
      <c r="F143" s="68" t="n">
        <v>9564</v>
      </c>
      <c r="G143" s="68" t="n">
        <v>25208</v>
      </c>
      <c r="H143" s="68" t="n">
        <v>89.13</v>
      </c>
      <c r="I143" s="68" t="n">
        <v>55.6</v>
      </c>
      <c r="J143" s="68" t="n">
        <v>2.28</v>
      </c>
      <c r="K143" s="68"/>
    </row>
    <row r="144" customFormat="false" ht="14.25" hidden="false" customHeight="true" outlineLevel="0" collapsed="false">
      <c r="A144" s="68" t="s">
        <v>35</v>
      </c>
      <c r="B144" s="68" t="s">
        <v>36</v>
      </c>
      <c r="C144" s="68" t="n">
        <v>2024</v>
      </c>
      <c r="D144" s="68" t="s">
        <v>797</v>
      </c>
      <c r="E144" s="68" t="s">
        <v>821</v>
      </c>
      <c r="F144" s="68" t="n">
        <v>13653</v>
      </c>
      <c r="G144" s="68" t="n">
        <v>31783</v>
      </c>
      <c r="H144" s="68" t="n">
        <v>125.89</v>
      </c>
      <c r="I144" s="68" t="n">
        <v>73.2</v>
      </c>
      <c r="J144" s="68" t="n">
        <v>2.5</v>
      </c>
      <c r="K144" s="68"/>
    </row>
    <row r="145" customFormat="false" ht="14.25" hidden="false" customHeight="true" outlineLevel="0" collapsed="false">
      <c r="A145" s="68" t="s">
        <v>16</v>
      </c>
      <c r="B145" s="68" t="s">
        <v>17</v>
      </c>
      <c r="C145" s="68" t="n">
        <v>2021</v>
      </c>
      <c r="D145" s="68" t="s">
        <v>801</v>
      </c>
      <c r="E145" s="68" t="s">
        <v>812</v>
      </c>
      <c r="F145" s="68" t="n">
        <v>2214</v>
      </c>
      <c r="G145" s="68" t="n">
        <v>6890</v>
      </c>
      <c r="H145" s="68" t="n">
        <v>80.08</v>
      </c>
      <c r="I145" s="68" t="n">
        <v>38.4</v>
      </c>
      <c r="J145" s="68" t="n">
        <v>2.45</v>
      </c>
      <c r="K145" s="68"/>
    </row>
    <row r="146" customFormat="false" ht="14.25" hidden="false" customHeight="true" outlineLevel="0" collapsed="false">
      <c r="A146" s="68" t="s">
        <v>67</v>
      </c>
      <c r="B146" s="68" t="s">
        <v>68</v>
      </c>
      <c r="C146" s="68" t="n">
        <v>2020</v>
      </c>
      <c r="D146" s="68" t="s">
        <v>797</v>
      </c>
      <c r="E146" s="68" t="s">
        <v>813</v>
      </c>
      <c r="F146" s="68" t="n">
        <v>6770</v>
      </c>
      <c r="G146" s="68" t="n">
        <v>19189</v>
      </c>
      <c r="H146" s="68" t="n">
        <v>160.08</v>
      </c>
      <c r="I146" s="68" t="n">
        <v>54.3</v>
      </c>
      <c r="J146" s="68" t="n">
        <v>4.11</v>
      </c>
      <c r="K146" s="68"/>
    </row>
    <row r="147" customFormat="false" ht="14.25" hidden="false" customHeight="true" outlineLevel="0" collapsed="false">
      <c r="A147" s="68" t="s">
        <v>42</v>
      </c>
      <c r="B147" s="68" t="s">
        <v>43</v>
      </c>
      <c r="C147" s="68" t="n">
        <v>2023</v>
      </c>
      <c r="D147" s="68" t="s">
        <v>801</v>
      </c>
      <c r="E147" s="68" t="s">
        <v>802</v>
      </c>
      <c r="F147" s="68" t="n">
        <v>37345</v>
      </c>
      <c r="G147" s="68" t="n">
        <v>73201</v>
      </c>
      <c r="H147" s="68" t="n">
        <v>153.09</v>
      </c>
      <c r="I147" s="68" t="n">
        <v>68.9</v>
      </c>
      <c r="J147" s="68" t="n">
        <v>2.31</v>
      </c>
      <c r="K147" s="68"/>
    </row>
    <row r="148" customFormat="false" ht="14.25" hidden="false" customHeight="true" outlineLevel="0" collapsed="false">
      <c r="A148" s="68" t="s">
        <v>61</v>
      </c>
      <c r="B148" s="68" t="s">
        <v>62</v>
      </c>
      <c r="C148" s="68" t="n">
        <v>2019</v>
      </c>
      <c r="D148" s="68" t="s">
        <v>798</v>
      </c>
      <c r="E148" s="68" t="s">
        <v>799</v>
      </c>
      <c r="F148" s="68" t="n">
        <v>8612</v>
      </c>
      <c r="G148" s="68" t="n">
        <v>19797</v>
      </c>
      <c r="H148" s="68" t="n">
        <v>100.77</v>
      </c>
      <c r="I148" s="68" t="n">
        <v>45</v>
      </c>
      <c r="J148" s="68" t="n">
        <v>2.27</v>
      </c>
      <c r="K148" s="68"/>
    </row>
    <row r="149" customFormat="false" ht="14.25" hidden="false" customHeight="true" outlineLevel="0" collapsed="false">
      <c r="A149" s="68" t="s">
        <v>57</v>
      </c>
      <c r="B149" s="68" t="s">
        <v>58</v>
      </c>
      <c r="C149" s="68" t="n">
        <v>2022</v>
      </c>
      <c r="D149" s="68" t="s">
        <v>801</v>
      </c>
      <c r="E149" s="68" t="s">
        <v>803</v>
      </c>
      <c r="F149" s="68" t="n">
        <v>7707</v>
      </c>
      <c r="G149" s="68" t="n">
        <v>16900</v>
      </c>
      <c r="H149" s="68" t="n">
        <v>103.92</v>
      </c>
      <c r="I149" s="68" t="n">
        <v>52.2</v>
      </c>
      <c r="J149" s="68" t="n">
        <v>2.57</v>
      </c>
      <c r="K149" s="68"/>
    </row>
    <row r="150" customFormat="false" ht="14.25" hidden="false" customHeight="true" outlineLevel="0" collapsed="false">
      <c r="A150" s="68" t="s">
        <v>39</v>
      </c>
      <c r="B150" s="68" t="s">
        <v>40</v>
      </c>
      <c r="C150" s="68" t="n">
        <v>2021</v>
      </c>
      <c r="D150" s="68" t="s">
        <v>797</v>
      </c>
      <c r="E150" s="68" t="s">
        <v>804</v>
      </c>
      <c r="F150" s="68" t="n">
        <v>2347</v>
      </c>
      <c r="G150" s="68" t="n">
        <v>20620</v>
      </c>
      <c r="H150" s="68" t="n">
        <v>91.5</v>
      </c>
      <c r="I150" s="68" t="n">
        <v>38.8</v>
      </c>
      <c r="J150" s="68" t="n">
        <v>2.59</v>
      </c>
      <c r="K150" s="68"/>
    </row>
    <row r="151" customFormat="false" ht="14.25" hidden="false" customHeight="true" outlineLevel="0" collapsed="false">
      <c r="A151" s="68" t="s">
        <v>42</v>
      </c>
      <c r="B151" s="68" t="s">
        <v>43</v>
      </c>
      <c r="C151" s="68" t="n">
        <v>2024</v>
      </c>
      <c r="D151" s="68" t="s">
        <v>798</v>
      </c>
      <c r="E151" s="68" t="s">
        <v>808</v>
      </c>
      <c r="F151" s="68" t="n">
        <v>28494</v>
      </c>
      <c r="G151" s="68" t="n">
        <v>52830</v>
      </c>
      <c r="H151" s="68" t="n">
        <v>159.14</v>
      </c>
      <c r="I151" s="68" t="n">
        <v>55.5</v>
      </c>
      <c r="J151" s="68" t="n">
        <v>2.25</v>
      </c>
      <c r="K151" s="68"/>
    </row>
    <row r="152" customFormat="false" ht="14.25" hidden="false" customHeight="true" outlineLevel="0" collapsed="false">
      <c r="A152" s="68" t="s">
        <v>55</v>
      </c>
      <c r="B152" s="68" t="s">
        <v>56</v>
      </c>
      <c r="C152" s="68" t="n">
        <v>2024</v>
      </c>
      <c r="D152" s="68" t="s">
        <v>797</v>
      </c>
      <c r="E152" s="68" t="s">
        <v>821</v>
      </c>
      <c r="F152" s="68" t="n">
        <v>14762</v>
      </c>
      <c r="G152" s="68" t="n">
        <v>34023</v>
      </c>
      <c r="H152" s="68" t="n">
        <v>99.74</v>
      </c>
      <c r="I152" s="68" t="n">
        <v>66.8</v>
      </c>
      <c r="J152" s="68" t="n">
        <v>2.62</v>
      </c>
      <c r="K152" s="68"/>
    </row>
    <row r="153" customFormat="false" ht="14.25" hidden="false" customHeight="true" outlineLevel="0" collapsed="false">
      <c r="A153" s="68" t="s">
        <v>55</v>
      </c>
      <c r="B153" s="68" t="s">
        <v>56</v>
      </c>
      <c r="C153" s="68" t="n">
        <v>2022</v>
      </c>
      <c r="D153" s="68" t="s">
        <v>798</v>
      </c>
      <c r="E153" s="68" t="s">
        <v>807</v>
      </c>
      <c r="F153" s="68" t="n">
        <v>6119</v>
      </c>
      <c r="G153" s="68" t="n">
        <v>17111</v>
      </c>
      <c r="H153" s="68" t="n">
        <v>95.32</v>
      </c>
      <c r="I153" s="68" t="n">
        <v>46.7</v>
      </c>
      <c r="J153" s="68" t="n">
        <v>2.27</v>
      </c>
      <c r="K153" s="68"/>
    </row>
    <row r="154" customFormat="false" ht="14.25" hidden="false" customHeight="true" outlineLevel="0" collapsed="false">
      <c r="A154" s="68" t="s">
        <v>61</v>
      </c>
      <c r="B154" s="68" t="s">
        <v>62</v>
      </c>
      <c r="C154" s="68" t="n">
        <v>2021</v>
      </c>
      <c r="D154" s="68" t="s">
        <v>797</v>
      </c>
      <c r="E154" s="68" t="s">
        <v>804</v>
      </c>
      <c r="F154" s="68" t="n">
        <v>2045</v>
      </c>
      <c r="G154" s="68" t="n">
        <v>19549</v>
      </c>
      <c r="H154" s="68" t="n">
        <v>79.47</v>
      </c>
      <c r="I154" s="68" t="n">
        <v>36.8</v>
      </c>
      <c r="J154" s="68" t="n">
        <v>2.68</v>
      </c>
      <c r="K154" s="68"/>
    </row>
    <row r="155" customFormat="false" ht="14.25" hidden="false" customHeight="true" outlineLevel="0" collapsed="false">
      <c r="A155" s="68" t="s">
        <v>42</v>
      </c>
      <c r="B155" s="68" t="s">
        <v>43</v>
      </c>
      <c r="C155" s="68" t="n">
        <v>2020</v>
      </c>
      <c r="D155" s="68" t="s">
        <v>801</v>
      </c>
      <c r="E155" s="68" t="s">
        <v>810</v>
      </c>
      <c r="F155" s="68" t="n">
        <v>1608</v>
      </c>
      <c r="G155" s="68" t="n">
        <v>26654</v>
      </c>
      <c r="H155" s="68" t="n">
        <v>104.44</v>
      </c>
      <c r="I155" s="68" t="n">
        <v>30.9</v>
      </c>
      <c r="J155" s="68" t="n">
        <v>2.39</v>
      </c>
      <c r="K155" s="68"/>
    </row>
    <row r="156" customFormat="false" ht="14.25" hidden="false" customHeight="true" outlineLevel="0" collapsed="false">
      <c r="A156" s="68" t="s">
        <v>67</v>
      </c>
      <c r="B156" s="68" t="s">
        <v>68</v>
      </c>
      <c r="C156" s="68" t="n">
        <v>2022</v>
      </c>
      <c r="D156" s="68" t="s">
        <v>798</v>
      </c>
      <c r="E156" s="68" t="s">
        <v>807</v>
      </c>
      <c r="F156" s="68" t="n">
        <v>1703</v>
      </c>
      <c r="G156" s="68" t="n">
        <v>4165</v>
      </c>
      <c r="H156" s="68" t="n">
        <v>179.9</v>
      </c>
      <c r="I156" s="68" t="n">
        <v>35.3</v>
      </c>
      <c r="J156" s="68" t="n">
        <v>3.23</v>
      </c>
      <c r="K156" s="68"/>
    </row>
    <row r="157" customFormat="false" ht="14.25" hidden="false" customHeight="true" outlineLevel="0" collapsed="false">
      <c r="A157" s="68" t="s">
        <v>16</v>
      </c>
      <c r="B157" s="68" t="s">
        <v>17</v>
      </c>
      <c r="C157" s="68" t="n">
        <v>2020</v>
      </c>
      <c r="D157" s="68" t="s">
        <v>801</v>
      </c>
      <c r="E157" s="68" t="s">
        <v>810</v>
      </c>
      <c r="F157" s="68" t="n">
        <v>313</v>
      </c>
      <c r="G157" s="68" t="n">
        <v>5147</v>
      </c>
      <c r="H157" s="68" t="n">
        <v>77.16</v>
      </c>
      <c r="I157" s="68" t="n">
        <v>27.8</v>
      </c>
      <c r="J157" s="68" t="n">
        <v>2.52</v>
      </c>
      <c r="K157" s="68"/>
    </row>
    <row r="158" customFormat="false" ht="14.25" hidden="false" customHeight="true" outlineLevel="0" collapsed="false">
      <c r="A158" s="68" t="s">
        <v>53</v>
      </c>
      <c r="B158" s="68" t="s">
        <v>54</v>
      </c>
      <c r="C158" s="68" t="n">
        <v>2020</v>
      </c>
      <c r="D158" s="68" t="s">
        <v>805</v>
      </c>
      <c r="E158" s="68" t="s">
        <v>824</v>
      </c>
      <c r="F158" s="68" t="n">
        <v>478</v>
      </c>
      <c r="G158" s="68" t="n">
        <v>6777</v>
      </c>
      <c r="H158" s="68" t="n">
        <v>80.96</v>
      </c>
      <c r="I158" s="68" t="n">
        <v>33</v>
      </c>
      <c r="J158" s="68" t="n">
        <v>2.35</v>
      </c>
      <c r="K158" s="68"/>
    </row>
    <row r="159" customFormat="false" ht="14.25" hidden="false" customHeight="true" outlineLevel="0" collapsed="false">
      <c r="A159" s="68" t="s">
        <v>61</v>
      </c>
      <c r="B159" s="68" t="s">
        <v>62</v>
      </c>
      <c r="C159" s="68" t="n">
        <v>2024</v>
      </c>
      <c r="D159" s="68" t="s">
        <v>797</v>
      </c>
      <c r="E159" s="68" t="s">
        <v>821</v>
      </c>
      <c r="F159" s="68" t="n">
        <v>21000</v>
      </c>
      <c r="G159" s="68" t="n">
        <v>51945</v>
      </c>
      <c r="H159" s="68" t="n">
        <v>140.05</v>
      </c>
      <c r="I159" s="68" t="n">
        <v>58.1</v>
      </c>
      <c r="J159" s="68" t="n">
        <v>2.46</v>
      </c>
      <c r="K159" s="68"/>
    </row>
    <row r="160" customFormat="false" ht="14.25" hidden="false" customHeight="true" outlineLevel="0" collapsed="false">
      <c r="A160" s="68" t="s">
        <v>53</v>
      </c>
      <c r="B160" s="68" t="s">
        <v>54</v>
      </c>
      <c r="C160" s="68" t="n">
        <v>2023</v>
      </c>
      <c r="D160" s="68" t="s">
        <v>797</v>
      </c>
      <c r="E160" s="68" t="s">
        <v>820</v>
      </c>
      <c r="F160" s="68" t="n">
        <v>14247</v>
      </c>
      <c r="G160" s="68" t="n">
        <v>30751</v>
      </c>
      <c r="H160" s="68" t="n">
        <v>113.15</v>
      </c>
      <c r="I160" s="68" t="n">
        <v>65.2</v>
      </c>
      <c r="J160" s="68" t="n">
        <v>2.56</v>
      </c>
      <c r="K160" s="68"/>
    </row>
    <row r="161" customFormat="false" ht="14.25" hidden="false" customHeight="true" outlineLevel="0" collapsed="false">
      <c r="A161" s="68" t="s">
        <v>27</v>
      </c>
      <c r="B161" s="68" t="s">
        <v>28</v>
      </c>
      <c r="C161" s="68" t="n">
        <v>2020</v>
      </c>
      <c r="D161" s="68" t="s">
        <v>801</v>
      </c>
      <c r="E161" s="68" t="s">
        <v>810</v>
      </c>
      <c r="F161" s="68" t="n">
        <v>436</v>
      </c>
      <c r="G161" s="68" t="n">
        <v>9713</v>
      </c>
      <c r="H161" s="68" t="n">
        <v>75.32</v>
      </c>
      <c r="I161" s="68" t="n">
        <v>33.6</v>
      </c>
      <c r="J161" s="68" t="n">
        <v>2.32</v>
      </c>
      <c r="K161" s="68"/>
    </row>
    <row r="162" customFormat="false" ht="14.25" hidden="false" customHeight="true" outlineLevel="0" collapsed="false">
      <c r="A162" s="68" t="s">
        <v>64</v>
      </c>
      <c r="B162" s="68" t="s">
        <v>65</v>
      </c>
      <c r="C162" s="68" t="n">
        <v>2020</v>
      </c>
      <c r="D162" s="68" t="s">
        <v>801</v>
      </c>
      <c r="E162" s="68" t="s">
        <v>810</v>
      </c>
      <c r="F162" s="68" t="n">
        <v>198</v>
      </c>
      <c r="G162" s="68" t="n">
        <v>3392</v>
      </c>
      <c r="H162" s="68" t="n">
        <v>108.19</v>
      </c>
      <c r="I162" s="68" t="n">
        <v>25.8</v>
      </c>
      <c r="J162" s="68" t="n">
        <v>3.7</v>
      </c>
      <c r="K162" s="68"/>
    </row>
    <row r="163" customFormat="false" ht="14.25" hidden="false" customHeight="true" outlineLevel="0" collapsed="false">
      <c r="A163" s="68" t="s">
        <v>46</v>
      </c>
      <c r="B163" s="68" t="s">
        <v>47</v>
      </c>
      <c r="C163" s="68" t="n">
        <v>2020</v>
      </c>
      <c r="D163" s="68" t="s">
        <v>797</v>
      </c>
      <c r="E163" s="68" t="s">
        <v>813</v>
      </c>
      <c r="F163" s="68" t="n">
        <v>3466</v>
      </c>
      <c r="G163" s="68" t="n">
        <v>10844</v>
      </c>
      <c r="H163" s="68" t="n">
        <v>86.23</v>
      </c>
      <c r="I163" s="68" t="n">
        <v>48.4</v>
      </c>
      <c r="J163" s="68" t="n">
        <v>2.66</v>
      </c>
      <c r="K163" s="68"/>
    </row>
    <row r="164" customFormat="false" ht="14.25" hidden="false" customHeight="true" outlineLevel="0" collapsed="false">
      <c r="A164" s="68" t="s">
        <v>39</v>
      </c>
      <c r="B164" s="68" t="s">
        <v>40</v>
      </c>
      <c r="C164" s="68" t="n">
        <v>2020</v>
      </c>
      <c r="D164" s="68" t="s">
        <v>805</v>
      </c>
      <c r="E164" s="68" t="s">
        <v>824</v>
      </c>
      <c r="F164" s="68" t="n">
        <v>773</v>
      </c>
      <c r="G164" s="68" t="n">
        <v>14082</v>
      </c>
      <c r="H164" s="68" t="n">
        <v>78.94</v>
      </c>
      <c r="I164" s="68" t="n">
        <v>29.7</v>
      </c>
      <c r="J164" s="68" t="n">
        <v>2.52</v>
      </c>
      <c r="K164" s="68"/>
    </row>
    <row r="165" customFormat="false" ht="14.25" hidden="false" customHeight="true" outlineLevel="0" collapsed="false">
      <c r="A165" s="68" t="s">
        <v>57</v>
      </c>
      <c r="B165" s="68" t="s">
        <v>58</v>
      </c>
      <c r="C165" s="68" t="n">
        <v>2019</v>
      </c>
      <c r="D165" s="68" t="s">
        <v>805</v>
      </c>
      <c r="E165" s="68" t="s">
        <v>817</v>
      </c>
      <c r="F165" s="68" t="n">
        <v>4472</v>
      </c>
      <c r="G165" s="68" t="n">
        <v>13714</v>
      </c>
      <c r="H165" s="68" t="n">
        <v>93.3</v>
      </c>
      <c r="I165" s="68" t="n">
        <v>52.9</v>
      </c>
      <c r="J165" s="68" t="n">
        <v>2.4</v>
      </c>
      <c r="K165" s="68"/>
    </row>
    <row r="166" customFormat="false" ht="14.25" hidden="false" customHeight="true" outlineLevel="0" collapsed="false">
      <c r="A166" s="68" t="s">
        <v>42</v>
      </c>
      <c r="B166" s="68" t="s">
        <v>43</v>
      </c>
      <c r="C166" s="68" t="n">
        <v>2023</v>
      </c>
      <c r="D166" s="68" t="s">
        <v>805</v>
      </c>
      <c r="E166" s="68" t="s">
        <v>809</v>
      </c>
      <c r="F166" s="68" t="n">
        <v>29259</v>
      </c>
      <c r="G166" s="68" t="n">
        <v>58456</v>
      </c>
      <c r="H166" s="68" t="n">
        <v>170.96</v>
      </c>
      <c r="I166" s="68" t="n">
        <v>65.9</v>
      </c>
      <c r="J166" s="68" t="n">
        <v>2.64</v>
      </c>
      <c r="K166" s="68"/>
    </row>
    <row r="167" customFormat="false" ht="14.25" hidden="false" customHeight="true" outlineLevel="0" collapsed="false">
      <c r="A167" s="68" t="s">
        <v>27</v>
      </c>
      <c r="B167" s="68" t="s">
        <v>28</v>
      </c>
      <c r="C167" s="68" t="n">
        <v>2020</v>
      </c>
      <c r="D167" s="68" t="s">
        <v>805</v>
      </c>
      <c r="E167" s="68" t="s">
        <v>824</v>
      </c>
      <c r="F167" s="68" t="n">
        <v>555</v>
      </c>
      <c r="G167" s="68" t="n">
        <v>8282</v>
      </c>
      <c r="H167" s="68" t="n">
        <v>82.31</v>
      </c>
      <c r="I167" s="68"/>
      <c r="J167" s="68" t="n">
        <v>2.33</v>
      </c>
      <c r="K167" s="68"/>
    </row>
    <row r="168" customFormat="false" ht="14.25" hidden="false" customHeight="true" outlineLevel="0" collapsed="false">
      <c r="A168" s="68" t="s">
        <v>50</v>
      </c>
      <c r="B168" s="68" t="s">
        <v>51</v>
      </c>
      <c r="C168" s="68" t="n">
        <v>2022</v>
      </c>
      <c r="D168" s="68" t="s">
        <v>801</v>
      </c>
      <c r="E168" s="68" t="s">
        <v>803</v>
      </c>
      <c r="F168" s="68" t="n">
        <v>7403</v>
      </c>
      <c r="G168" s="68" t="n">
        <v>15788</v>
      </c>
      <c r="H168" s="68" t="n">
        <v>134.7</v>
      </c>
      <c r="I168" s="68" t="n">
        <v>59.4</v>
      </c>
      <c r="J168" s="68" t="n">
        <v>2.38</v>
      </c>
      <c r="K168" s="68"/>
    </row>
    <row r="169" customFormat="false" ht="14.25" hidden="false" customHeight="true" outlineLevel="0" collapsed="false">
      <c r="A169" s="68" t="s">
        <v>22</v>
      </c>
      <c r="B169" s="68" t="s">
        <v>23</v>
      </c>
      <c r="C169" s="68" t="n">
        <v>2024</v>
      </c>
      <c r="D169" s="68" t="s">
        <v>797</v>
      </c>
      <c r="E169" s="68" t="s">
        <v>821</v>
      </c>
      <c r="F169" s="68" t="n">
        <v>9140</v>
      </c>
      <c r="G169" s="68" t="n">
        <v>18955</v>
      </c>
      <c r="H169" s="68" t="n">
        <v>109.29</v>
      </c>
      <c r="I169" s="68" t="n">
        <v>56</v>
      </c>
      <c r="J169" s="68" t="n">
        <v>2.48</v>
      </c>
      <c r="K169" s="68"/>
    </row>
    <row r="170" customFormat="false" ht="14.25" hidden="false" customHeight="true" outlineLevel="0" collapsed="false">
      <c r="A170" s="68" t="s">
        <v>46</v>
      </c>
      <c r="B170" s="68" t="s">
        <v>47</v>
      </c>
      <c r="C170" s="68" t="n">
        <v>2024</v>
      </c>
      <c r="D170" s="68" t="s">
        <v>797</v>
      </c>
      <c r="E170" s="68" t="s">
        <v>821</v>
      </c>
      <c r="F170" s="68" t="n">
        <v>9845</v>
      </c>
      <c r="G170" s="68" t="n">
        <v>18295</v>
      </c>
      <c r="H170" s="68" t="n">
        <v>90.9</v>
      </c>
      <c r="I170" s="68" t="n">
        <v>57.4</v>
      </c>
      <c r="J170" s="68" t="n">
        <v>2.39</v>
      </c>
      <c r="K170" s="68"/>
    </row>
    <row r="171" customFormat="false" ht="14.25" hidden="false" customHeight="true" outlineLevel="0" collapsed="false">
      <c r="A171" s="68" t="s">
        <v>57</v>
      </c>
      <c r="B171" s="68" t="s">
        <v>58</v>
      </c>
      <c r="C171" s="68" t="n">
        <v>2020</v>
      </c>
      <c r="D171" s="68" t="s">
        <v>801</v>
      </c>
      <c r="E171" s="68" t="s">
        <v>810</v>
      </c>
      <c r="F171" s="68" t="n">
        <v>409</v>
      </c>
      <c r="G171" s="68" t="n">
        <v>6766</v>
      </c>
      <c r="H171" s="68" t="n">
        <v>70.07</v>
      </c>
      <c r="I171" s="68" t="n">
        <v>31</v>
      </c>
      <c r="J171" s="68" t="n">
        <v>2.44</v>
      </c>
      <c r="K171" s="68"/>
    </row>
    <row r="172" customFormat="false" ht="14.25" hidden="false" customHeight="true" outlineLevel="0" collapsed="false">
      <c r="A172" s="68" t="s">
        <v>27</v>
      </c>
      <c r="B172" s="68" t="s">
        <v>28</v>
      </c>
      <c r="C172" s="68" t="n">
        <v>2021</v>
      </c>
      <c r="D172" s="68" t="s">
        <v>797</v>
      </c>
      <c r="E172" s="68" t="s">
        <v>804</v>
      </c>
      <c r="F172" s="68" t="n">
        <v>1420</v>
      </c>
      <c r="G172" s="68" t="n">
        <v>11490</v>
      </c>
      <c r="H172" s="68" t="n">
        <v>80.29</v>
      </c>
      <c r="I172" s="68" t="n">
        <v>33.8</v>
      </c>
      <c r="J172" s="68" t="n">
        <v>2.59</v>
      </c>
      <c r="K172" s="68"/>
    </row>
    <row r="173" customFormat="false" ht="14.25" hidden="false" customHeight="true" outlineLevel="0" collapsed="false">
      <c r="A173" s="68" t="s">
        <v>39</v>
      </c>
      <c r="B173" s="68" t="s">
        <v>40</v>
      </c>
      <c r="C173" s="68" t="n">
        <v>2025</v>
      </c>
      <c r="D173" s="68" t="s">
        <v>798</v>
      </c>
      <c r="E173" s="68" t="s">
        <v>304</v>
      </c>
      <c r="F173" s="68" t="n">
        <v>16269</v>
      </c>
      <c r="G173" s="68" t="n">
        <v>30396</v>
      </c>
      <c r="H173" s="68" t="n">
        <v>131.52</v>
      </c>
      <c r="I173" s="68" t="n">
        <v>51.6</v>
      </c>
      <c r="J173" s="68" t="n">
        <v>2.31</v>
      </c>
      <c r="K173" s="68"/>
    </row>
    <row r="174" customFormat="false" ht="14.25" hidden="false" customHeight="true" outlineLevel="0" collapsed="false">
      <c r="A174" s="68" t="s">
        <v>31</v>
      </c>
      <c r="B174" s="68" t="s">
        <v>32</v>
      </c>
      <c r="C174" s="68" t="n">
        <v>2019</v>
      </c>
      <c r="D174" s="68" t="s">
        <v>805</v>
      </c>
      <c r="E174" s="68" t="s">
        <v>817</v>
      </c>
      <c r="F174" s="68" t="n">
        <v>5466</v>
      </c>
      <c r="G174" s="68" t="n">
        <v>14857</v>
      </c>
      <c r="H174" s="68" t="n">
        <v>99.63</v>
      </c>
      <c r="I174" s="68" t="n">
        <v>55.7</v>
      </c>
      <c r="J174" s="68" t="n">
        <v>2.49</v>
      </c>
      <c r="K174" s="68"/>
    </row>
    <row r="175" customFormat="false" ht="14.25" hidden="false" customHeight="true" outlineLevel="0" collapsed="false">
      <c r="A175" s="68" t="s">
        <v>57</v>
      </c>
      <c r="B175" s="68" t="s">
        <v>58</v>
      </c>
      <c r="C175" s="68" t="n">
        <v>2019</v>
      </c>
      <c r="D175" s="68" t="s">
        <v>798</v>
      </c>
      <c r="E175" s="68" t="s">
        <v>799</v>
      </c>
      <c r="F175" s="68" t="n">
        <v>3922</v>
      </c>
      <c r="G175" s="68" t="n">
        <v>9199</v>
      </c>
      <c r="H175" s="68" t="n">
        <v>86.15</v>
      </c>
      <c r="I175" s="68" t="n">
        <v>51.8</v>
      </c>
      <c r="J175" s="68" t="n">
        <v>2.51</v>
      </c>
      <c r="K175" s="68"/>
    </row>
    <row r="176" customFormat="false" ht="14.25" hidden="false" customHeight="true" outlineLevel="0" collapsed="false">
      <c r="A176" s="68" t="s">
        <v>67</v>
      </c>
      <c r="B176" s="68" t="s">
        <v>68</v>
      </c>
      <c r="C176" s="68" t="n">
        <v>2021</v>
      </c>
      <c r="D176" s="68" t="s">
        <v>801</v>
      </c>
      <c r="E176" s="68" t="s">
        <v>812</v>
      </c>
      <c r="F176" s="68" t="n">
        <v>2539</v>
      </c>
      <c r="G176" s="68" t="n">
        <v>8874</v>
      </c>
      <c r="H176" s="68" t="n">
        <v>132.75</v>
      </c>
      <c r="I176" s="68" t="n">
        <v>38</v>
      </c>
      <c r="J176" s="68" t="n">
        <v>4.11</v>
      </c>
      <c r="K176" s="68"/>
    </row>
    <row r="177" customFormat="false" ht="14.25" hidden="false" customHeight="true" outlineLevel="0" collapsed="false">
      <c r="A177" s="68" t="s">
        <v>67</v>
      </c>
      <c r="B177" s="68" t="s">
        <v>68</v>
      </c>
      <c r="C177" s="68" t="n">
        <v>2019</v>
      </c>
      <c r="D177" s="68" t="s">
        <v>805</v>
      </c>
      <c r="E177" s="68" t="s">
        <v>817</v>
      </c>
      <c r="F177" s="68" t="n">
        <v>3247</v>
      </c>
      <c r="G177" s="68" t="n">
        <v>7939</v>
      </c>
      <c r="H177" s="68" t="n">
        <v>172.24</v>
      </c>
      <c r="I177" s="68" t="n">
        <v>37.2</v>
      </c>
      <c r="J177" s="68" t="n">
        <v>3.45</v>
      </c>
      <c r="K177" s="68"/>
    </row>
    <row r="178" customFormat="false" ht="14.25" hidden="false" customHeight="true" outlineLevel="0" collapsed="false">
      <c r="A178" s="68" t="s">
        <v>55</v>
      </c>
      <c r="B178" s="68" t="s">
        <v>825</v>
      </c>
      <c r="C178" s="68" t="n">
        <v>2021</v>
      </c>
      <c r="D178" s="68" t="s">
        <v>798</v>
      </c>
      <c r="E178" s="68" t="s">
        <v>818</v>
      </c>
      <c r="F178" s="68" t="n">
        <v>2125</v>
      </c>
      <c r="G178" s="68" t="n">
        <v>9494</v>
      </c>
      <c r="H178" s="68" t="n">
        <v>74.29</v>
      </c>
      <c r="I178" s="68" t="n">
        <v>38.7</v>
      </c>
      <c r="J178" s="68" t="n">
        <v>2.25</v>
      </c>
      <c r="K178" s="68"/>
    </row>
    <row r="179" customFormat="false" ht="14.25" hidden="false" customHeight="true" outlineLevel="0" collapsed="false">
      <c r="A179" s="68" t="s">
        <v>57</v>
      </c>
      <c r="B179" s="68" t="s">
        <v>58</v>
      </c>
      <c r="C179" s="68" t="n">
        <v>2020</v>
      </c>
      <c r="D179" s="68" t="s">
        <v>797</v>
      </c>
      <c r="E179" s="68" t="s">
        <v>813</v>
      </c>
      <c r="F179" s="68" t="n">
        <v>4604</v>
      </c>
      <c r="G179" s="68" t="n">
        <v>12378</v>
      </c>
      <c r="H179" s="68" t="n">
        <v>73.75</v>
      </c>
      <c r="I179" s="68" t="n">
        <v>43.6</v>
      </c>
      <c r="J179" s="68" t="n">
        <v>2.56</v>
      </c>
      <c r="K179" s="68"/>
    </row>
    <row r="180" customFormat="false" ht="14.25" hidden="false" customHeight="true" outlineLevel="0" collapsed="false">
      <c r="A180" s="68" t="s">
        <v>53</v>
      </c>
      <c r="B180" s="68" t="s">
        <v>54</v>
      </c>
      <c r="C180" s="68" t="n">
        <v>2025</v>
      </c>
      <c r="D180" s="68" t="s">
        <v>797</v>
      </c>
      <c r="E180" s="68" t="s">
        <v>302</v>
      </c>
      <c r="F180" s="68" t="n">
        <v>13978</v>
      </c>
      <c r="G180" s="68" t="n">
        <v>32896</v>
      </c>
      <c r="H180" s="68" t="n">
        <v>135.14</v>
      </c>
      <c r="I180" s="68" t="n">
        <v>64.3</v>
      </c>
      <c r="J180" s="68" t="n">
        <v>2.57</v>
      </c>
      <c r="K180" s="68"/>
    </row>
    <row r="181" customFormat="false" ht="14.25" hidden="false" customHeight="true" outlineLevel="0" collapsed="false">
      <c r="A181" s="68" t="s">
        <v>27</v>
      </c>
      <c r="B181" s="68" t="s">
        <v>28</v>
      </c>
      <c r="C181" s="68" t="n">
        <v>2024</v>
      </c>
      <c r="D181" s="68" t="s">
        <v>798</v>
      </c>
      <c r="E181" s="68" t="s">
        <v>808</v>
      </c>
      <c r="F181" s="68" t="n">
        <v>6924</v>
      </c>
      <c r="G181" s="68" t="n">
        <v>15654</v>
      </c>
      <c r="H181" s="68" t="n">
        <v>144.44</v>
      </c>
      <c r="I181" s="68" t="n">
        <v>50.7</v>
      </c>
      <c r="J181" s="68" t="n">
        <v>2.2</v>
      </c>
      <c r="K181" s="68"/>
    </row>
    <row r="182" customFormat="false" ht="14.25" hidden="false" customHeight="true" outlineLevel="0" collapsed="false">
      <c r="A182" s="68" t="s">
        <v>64</v>
      </c>
      <c r="B182" s="68" t="s">
        <v>65</v>
      </c>
      <c r="C182" s="68" t="n">
        <v>2025</v>
      </c>
      <c r="D182" s="68" t="s">
        <v>797</v>
      </c>
      <c r="E182" s="68" t="s">
        <v>302</v>
      </c>
      <c r="F182" s="68" t="n">
        <v>6592</v>
      </c>
      <c r="G182" s="68" t="n">
        <v>15339</v>
      </c>
      <c r="H182" s="68" t="n">
        <v>169.19</v>
      </c>
      <c r="I182" s="68" t="n">
        <v>67.9</v>
      </c>
      <c r="J182" s="68" t="n">
        <v>4.62</v>
      </c>
      <c r="K182" s="68"/>
    </row>
    <row r="183" customFormat="false" ht="14.25" hidden="false" customHeight="true" outlineLevel="0" collapsed="false">
      <c r="A183" s="68" t="s">
        <v>31</v>
      </c>
      <c r="B183" s="68" t="s">
        <v>32</v>
      </c>
      <c r="C183" s="68" t="n">
        <v>2024</v>
      </c>
      <c r="D183" s="68" t="s">
        <v>805</v>
      </c>
      <c r="E183" s="68" t="s">
        <v>811</v>
      </c>
      <c r="F183" s="68" t="n">
        <v>7638</v>
      </c>
      <c r="G183" s="68" t="n">
        <v>15796</v>
      </c>
      <c r="H183" s="68" t="n">
        <v>115.57</v>
      </c>
      <c r="I183" s="68" t="n">
        <v>55</v>
      </c>
      <c r="J183" s="68" t="n">
        <v>2.39</v>
      </c>
      <c r="K183" s="68"/>
    </row>
    <row r="184" customFormat="false" ht="14.25" hidden="false" customHeight="true" outlineLevel="0" collapsed="false">
      <c r="A184" s="68" t="s">
        <v>53</v>
      </c>
      <c r="B184" s="68" t="s">
        <v>54</v>
      </c>
      <c r="C184" s="68" t="n">
        <v>2025</v>
      </c>
      <c r="D184" s="68" t="s">
        <v>805</v>
      </c>
      <c r="E184" s="68" t="s">
        <v>303</v>
      </c>
      <c r="F184" s="68" t="n">
        <v>11774</v>
      </c>
      <c r="G184" s="68" t="n">
        <v>24070</v>
      </c>
      <c r="H184" s="68" t="n">
        <v>125.59</v>
      </c>
      <c r="I184" s="68" t="n">
        <v>51.6</v>
      </c>
      <c r="J184" s="68" t="n">
        <v>2.29</v>
      </c>
      <c r="K184" s="68"/>
    </row>
    <row r="185" customFormat="false" ht="14.25" hidden="false" customHeight="true" outlineLevel="0" collapsed="false">
      <c r="A185" s="68" t="s">
        <v>53</v>
      </c>
      <c r="B185" s="68" t="s">
        <v>54</v>
      </c>
      <c r="C185" s="68" t="n">
        <v>2023</v>
      </c>
      <c r="D185" s="68" t="s">
        <v>798</v>
      </c>
      <c r="E185" s="68" t="s">
        <v>800</v>
      </c>
      <c r="F185" s="68" t="n">
        <v>7008</v>
      </c>
      <c r="G185" s="68" t="n">
        <v>14780</v>
      </c>
      <c r="H185" s="68" t="n">
        <v>120.53</v>
      </c>
      <c r="I185" s="68" t="n">
        <v>51.8</v>
      </c>
      <c r="J185" s="68" t="n">
        <v>2.21</v>
      </c>
      <c r="K185" s="68"/>
    </row>
    <row r="186" customFormat="false" ht="14.25" hidden="false" customHeight="true" outlineLevel="0" collapsed="false">
      <c r="A186" s="68" t="s">
        <v>27</v>
      </c>
      <c r="B186" s="68" t="s">
        <v>28</v>
      </c>
      <c r="C186" s="68" t="n">
        <v>2023</v>
      </c>
      <c r="D186" s="68" t="s">
        <v>805</v>
      </c>
      <c r="E186" s="68" t="s">
        <v>809</v>
      </c>
      <c r="F186" s="68" t="n">
        <v>10065</v>
      </c>
      <c r="G186" s="68" t="n">
        <v>21384</v>
      </c>
      <c r="H186" s="68" t="n">
        <v>117.28</v>
      </c>
      <c r="I186" s="68" t="n">
        <v>59.7</v>
      </c>
      <c r="J186" s="68" t="n">
        <v>2.22</v>
      </c>
      <c r="K186" s="68"/>
    </row>
    <row r="187" customFormat="false" ht="14.25" hidden="false" customHeight="true" outlineLevel="0" collapsed="false">
      <c r="A187" s="68" t="s">
        <v>61</v>
      </c>
      <c r="B187" s="68" t="s">
        <v>62</v>
      </c>
      <c r="C187" s="68" t="n">
        <v>2021</v>
      </c>
      <c r="D187" s="68" t="s">
        <v>805</v>
      </c>
      <c r="E187" s="68" t="s">
        <v>806</v>
      </c>
      <c r="F187" s="68" t="n">
        <v>1578</v>
      </c>
      <c r="G187" s="68" t="n">
        <v>14449</v>
      </c>
      <c r="H187" s="68" t="n">
        <v>84.36</v>
      </c>
      <c r="I187" s="68" t="n">
        <v>31.3</v>
      </c>
      <c r="J187" s="68" t="n">
        <v>2.37</v>
      </c>
      <c r="K187" s="68"/>
    </row>
    <row r="188" customFormat="false" ht="14.25" hidden="false" customHeight="true" outlineLevel="0" collapsed="false">
      <c r="A188" s="68" t="s">
        <v>42</v>
      </c>
      <c r="B188" s="68" t="s">
        <v>43</v>
      </c>
      <c r="C188" s="68" t="n">
        <v>2019</v>
      </c>
      <c r="D188" s="68" t="s">
        <v>797</v>
      </c>
      <c r="E188" s="68" t="s">
        <v>815</v>
      </c>
      <c r="F188" s="68" t="n">
        <v>28263</v>
      </c>
      <c r="G188" s="68" t="n">
        <v>72319</v>
      </c>
      <c r="H188" s="68" t="n">
        <v>131.13</v>
      </c>
      <c r="I188" s="68" t="n">
        <v>72.4</v>
      </c>
      <c r="J188" s="68" t="n">
        <v>2.59</v>
      </c>
      <c r="K188" s="68"/>
    </row>
    <row r="189" customFormat="false" ht="14.25" hidden="false" customHeight="true" outlineLevel="0" collapsed="false">
      <c r="A189" s="68" t="s">
        <v>35</v>
      </c>
      <c r="B189" s="68" t="s">
        <v>36</v>
      </c>
      <c r="C189" s="68" t="n">
        <v>2020</v>
      </c>
      <c r="D189" s="68" t="s">
        <v>797</v>
      </c>
      <c r="E189" s="68" t="s">
        <v>813</v>
      </c>
      <c r="F189" s="68" t="n">
        <v>5894</v>
      </c>
      <c r="G189" s="68" t="n">
        <v>16041</v>
      </c>
      <c r="H189" s="68" t="n">
        <v>100.95</v>
      </c>
      <c r="I189" s="68" t="n">
        <v>50.7</v>
      </c>
      <c r="J189" s="68" t="n">
        <v>2.31</v>
      </c>
      <c r="K189" s="68"/>
    </row>
    <row r="190" customFormat="false" ht="14.25" hidden="false" customHeight="true" outlineLevel="0" collapsed="false">
      <c r="A190" s="68" t="s">
        <v>67</v>
      </c>
      <c r="B190" s="68" t="s">
        <v>68</v>
      </c>
      <c r="C190" s="68" t="n">
        <v>2020</v>
      </c>
      <c r="D190" s="68" t="s">
        <v>798</v>
      </c>
      <c r="E190" s="68" t="s">
        <v>816</v>
      </c>
      <c r="F190" s="68" t="n">
        <v>109</v>
      </c>
      <c r="G190" s="68" t="n">
        <v>1589</v>
      </c>
      <c r="H190" s="68" t="n">
        <v>136.77</v>
      </c>
      <c r="I190" s="68" t="n">
        <v>28.1</v>
      </c>
      <c r="J190" s="68" t="n">
        <v>3.04</v>
      </c>
      <c r="K190" s="68"/>
    </row>
    <row r="191" customFormat="false" ht="14.25" hidden="false" customHeight="true" outlineLevel="0" collapsed="false">
      <c r="A191" s="68" t="s">
        <v>46</v>
      </c>
      <c r="B191" s="68" t="s">
        <v>47</v>
      </c>
      <c r="C191" s="68" t="n">
        <v>2021</v>
      </c>
      <c r="D191" s="68" t="s">
        <v>805</v>
      </c>
      <c r="E191" s="68" t="s">
        <v>806</v>
      </c>
      <c r="F191" s="68" t="n">
        <v>591</v>
      </c>
      <c r="G191" s="68" t="n">
        <v>5068</v>
      </c>
      <c r="H191" s="68" t="n">
        <v>70.72</v>
      </c>
      <c r="I191" s="68" t="n">
        <v>31.2</v>
      </c>
      <c r="J191" s="68" t="n">
        <v>2.36</v>
      </c>
      <c r="K191" s="68"/>
    </row>
    <row r="192" customFormat="false" ht="14.25" hidden="false" customHeight="true" outlineLevel="0" collapsed="false">
      <c r="A192" s="68" t="s">
        <v>50</v>
      </c>
      <c r="B192" s="68" t="s">
        <v>51</v>
      </c>
      <c r="C192" s="68" t="n">
        <v>2025</v>
      </c>
      <c r="D192" s="68" t="s">
        <v>805</v>
      </c>
      <c r="E192" s="68" t="s">
        <v>303</v>
      </c>
      <c r="F192" s="68" t="n">
        <v>6931</v>
      </c>
      <c r="G192" s="68" t="n">
        <v>16955</v>
      </c>
      <c r="H192" s="68" t="n">
        <v>160.34</v>
      </c>
      <c r="I192" s="68" t="n">
        <v>60.5</v>
      </c>
      <c r="J192" s="68" t="n">
        <v>2.23</v>
      </c>
      <c r="K192" s="68"/>
    </row>
    <row r="193" customFormat="false" ht="14.25" hidden="false" customHeight="true" outlineLevel="0" collapsed="false">
      <c r="A193" s="68" t="s">
        <v>27</v>
      </c>
      <c r="B193" s="68" t="s">
        <v>28</v>
      </c>
      <c r="C193" s="68" t="n">
        <v>2022</v>
      </c>
      <c r="D193" s="68" t="s">
        <v>798</v>
      </c>
      <c r="E193" s="68" t="s">
        <v>807</v>
      </c>
      <c r="F193" s="68" t="n">
        <v>6070</v>
      </c>
      <c r="G193" s="68" t="n">
        <v>13372</v>
      </c>
      <c r="H193" s="68" t="n">
        <v>113.99</v>
      </c>
      <c r="I193" s="68" t="n">
        <v>50.3</v>
      </c>
      <c r="J193" s="68" t="n">
        <v>2.38</v>
      </c>
      <c r="K193" s="68"/>
    </row>
    <row r="194" customFormat="false" ht="14.25" hidden="false" customHeight="true" outlineLevel="0" collapsed="false">
      <c r="A194" s="68" t="s">
        <v>53</v>
      </c>
      <c r="B194" s="68" t="s">
        <v>54</v>
      </c>
      <c r="C194" s="68" t="n">
        <v>2022</v>
      </c>
      <c r="D194" s="68" t="s">
        <v>797</v>
      </c>
      <c r="E194" s="68" t="s">
        <v>822</v>
      </c>
      <c r="F194" s="68" t="n">
        <v>9248</v>
      </c>
      <c r="G194" s="68" t="n">
        <v>23126</v>
      </c>
      <c r="H194" s="68" t="n">
        <v>107.75</v>
      </c>
      <c r="I194" s="68" t="n">
        <v>53</v>
      </c>
      <c r="J194" s="68" t="n">
        <v>2.58</v>
      </c>
      <c r="K194" s="68"/>
    </row>
    <row r="195" customFormat="false" ht="14.25" hidden="false" customHeight="true" outlineLevel="0" collapsed="false">
      <c r="A195" s="68" t="s">
        <v>46</v>
      </c>
      <c r="B195" s="68" t="s">
        <v>47</v>
      </c>
      <c r="C195" s="68" t="n">
        <v>2022</v>
      </c>
      <c r="D195" s="68" t="s">
        <v>798</v>
      </c>
      <c r="E195" s="68" t="s">
        <v>807</v>
      </c>
      <c r="F195" s="68" t="n">
        <v>3495</v>
      </c>
      <c r="G195" s="68" t="n">
        <v>8243</v>
      </c>
      <c r="H195" s="68" t="n">
        <v>88.42</v>
      </c>
      <c r="I195" s="68" t="n">
        <v>46.5</v>
      </c>
      <c r="J195" s="68" t="n">
        <v>2.16</v>
      </c>
      <c r="K195" s="68"/>
    </row>
    <row r="196" customFormat="false" ht="14.25" hidden="false" customHeight="true" outlineLevel="0" collapsed="false">
      <c r="A196" s="68" t="s">
        <v>22</v>
      </c>
      <c r="B196" s="68" t="s">
        <v>23</v>
      </c>
      <c r="C196" s="68" t="n">
        <v>2025</v>
      </c>
      <c r="D196" s="68" t="s">
        <v>805</v>
      </c>
      <c r="E196" s="68" t="s">
        <v>303</v>
      </c>
      <c r="F196" s="68" t="n">
        <v>6680</v>
      </c>
      <c r="G196" s="68" t="n">
        <v>13995</v>
      </c>
      <c r="H196" s="68" t="n">
        <v>122.22</v>
      </c>
      <c r="I196" s="68" t="n">
        <v>55.9</v>
      </c>
      <c r="J196" s="68" t="n">
        <v>2.28</v>
      </c>
      <c r="K196" s="68"/>
    </row>
    <row r="197" customFormat="false" ht="14.25" hidden="false" customHeight="true" outlineLevel="0" collapsed="false">
      <c r="A197" s="68" t="s">
        <v>27</v>
      </c>
      <c r="B197" s="68" t="s">
        <v>28</v>
      </c>
      <c r="C197" s="68" t="n">
        <v>2021</v>
      </c>
      <c r="D197" s="68" t="s">
        <v>798</v>
      </c>
      <c r="E197" s="68" t="s">
        <v>818</v>
      </c>
      <c r="F197" s="68" t="n">
        <v>2100</v>
      </c>
      <c r="G197" s="68" t="n">
        <v>9142</v>
      </c>
      <c r="H197" s="68" t="n">
        <v>90.73</v>
      </c>
      <c r="I197" s="68" t="n">
        <v>34.4</v>
      </c>
      <c r="J197" s="68" t="n">
        <v>2.33</v>
      </c>
      <c r="K197" s="68"/>
    </row>
    <row r="198" customFormat="false" ht="14.25" hidden="false" customHeight="true" outlineLevel="0" collapsed="false">
      <c r="A198" s="68" t="s">
        <v>39</v>
      </c>
      <c r="B198" s="68" t="s">
        <v>40</v>
      </c>
      <c r="C198" s="68" t="n">
        <v>2022</v>
      </c>
      <c r="D198" s="68" t="s">
        <v>805</v>
      </c>
      <c r="E198" s="68" t="s">
        <v>819</v>
      </c>
      <c r="F198" s="68" t="n">
        <v>11860</v>
      </c>
      <c r="G198" s="68" t="n">
        <v>35098</v>
      </c>
      <c r="H198" s="68" t="n">
        <v>117.7</v>
      </c>
      <c r="I198" s="68" t="n">
        <v>47</v>
      </c>
      <c r="J198" s="68" t="n">
        <v>2.51</v>
      </c>
      <c r="K198" s="68"/>
    </row>
    <row r="199" customFormat="false" ht="14.25" hidden="false" customHeight="true" outlineLevel="0" collapsed="false">
      <c r="A199" s="68" t="s">
        <v>50</v>
      </c>
      <c r="B199" s="68" t="s">
        <v>51</v>
      </c>
      <c r="C199" s="68" t="n">
        <v>2025</v>
      </c>
      <c r="D199" s="68" t="s">
        <v>797</v>
      </c>
      <c r="E199" s="68" t="s">
        <v>302</v>
      </c>
      <c r="F199" s="68" t="n">
        <v>12146</v>
      </c>
      <c r="G199" s="68" t="n">
        <v>23121</v>
      </c>
      <c r="H199" s="68" t="n">
        <v>152.43</v>
      </c>
      <c r="I199" s="68" t="n">
        <v>69.8</v>
      </c>
      <c r="J199" s="68" t="n">
        <v>2.45</v>
      </c>
      <c r="K199" s="68"/>
    </row>
    <row r="200" customFormat="false" ht="14.25" hidden="false" customHeight="true" outlineLevel="0" collapsed="false">
      <c r="A200" s="68" t="s">
        <v>22</v>
      </c>
      <c r="B200" s="68" t="s">
        <v>23</v>
      </c>
      <c r="C200" s="68" t="n">
        <v>2021</v>
      </c>
      <c r="D200" s="68" t="s">
        <v>797</v>
      </c>
      <c r="E200" s="68" t="s">
        <v>804</v>
      </c>
      <c r="F200" s="68" t="n">
        <v>878</v>
      </c>
      <c r="G200" s="68" t="n">
        <v>7049</v>
      </c>
      <c r="H200" s="68" t="n">
        <v>75.99</v>
      </c>
      <c r="I200" s="68" t="n">
        <v>33.9</v>
      </c>
      <c r="J200" s="68" t="n">
        <v>2.54</v>
      </c>
      <c r="K200" s="68"/>
    </row>
    <row r="201" customFormat="false" ht="14.25" hidden="false" customHeight="true" outlineLevel="0" collapsed="false">
      <c r="A201" s="68" t="s">
        <v>55</v>
      </c>
      <c r="B201" s="68" t="s">
        <v>56</v>
      </c>
      <c r="C201" s="68" t="n">
        <v>2019</v>
      </c>
      <c r="D201" s="68" t="s">
        <v>801</v>
      </c>
      <c r="E201" s="68" t="s">
        <v>823</v>
      </c>
      <c r="F201" s="68" t="n">
        <v>10174</v>
      </c>
      <c r="G201" s="68" t="n">
        <v>24621</v>
      </c>
      <c r="H201" s="68" t="n">
        <v>82.34</v>
      </c>
      <c r="I201" s="68" t="n">
        <v>59.5</v>
      </c>
      <c r="J201" s="68" t="n">
        <v>2.43</v>
      </c>
      <c r="K201" s="68"/>
    </row>
    <row r="202" customFormat="false" ht="14.25" hidden="false" customHeight="true" outlineLevel="0" collapsed="false">
      <c r="A202" s="68" t="s">
        <v>55</v>
      </c>
      <c r="B202" s="68" t="s">
        <v>56</v>
      </c>
      <c r="C202" s="68" t="n">
        <v>2021</v>
      </c>
      <c r="D202" s="68" t="s">
        <v>805</v>
      </c>
      <c r="E202" s="68" t="s">
        <v>806</v>
      </c>
      <c r="F202" s="68" t="n">
        <v>1076</v>
      </c>
      <c r="G202" s="68" t="n">
        <v>9612</v>
      </c>
      <c r="H202" s="68" t="n">
        <v>74.64</v>
      </c>
      <c r="I202" s="68" t="n">
        <v>28.2</v>
      </c>
      <c r="J202" s="68" t="n">
        <v>2.41</v>
      </c>
      <c r="K202" s="68"/>
    </row>
    <row r="203" customFormat="false" ht="14.25" hidden="false" customHeight="true" outlineLevel="0" collapsed="false">
      <c r="A203" s="68" t="s">
        <v>22</v>
      </c>
      <c r="B203" s="68" t="s">
        <v>23</v>
      </c>
      <c r="C203" s="68" t="n">
        <v>2023</v>
      </c>
      <c r="D203" s="68" t="s">
        <v>797</v>
      </c>
      <c r="E203" s="68" t="s">
        <v>820</v>
      </c>
      <c r="F203" s="68" t="n">
        <v>7557</v>
      </c>
      <c r="G203" s="68" t="n">
        <v>18988</v>
      </c>
      <c r="H203" s="68" t="n">
        <v>117.28</v>
      </c>
      <c r="I203" s="68" t="n">
        <v>63.7</v>
      </c>
      <c r="J203" s="68" t="n">
        <v>2.45</v>
      </c>
      <c r="K203" s="68"/>
    </row>
    <row r="204" customFormat="false" ht="14.25" hidden="false" customHeight="true" outlineLevel="0" collapsed="false">
      <c r="A204" s="68" t="s">
        <v>57</v>
      </c>
      <c r="B204" s="68" t="s">
        <v>58</v>
      </c>
      <c r="C204" s="68" t="n">
        <v>2020</v>
      </c>
      <c r="D204" s="68" t="s">
        <v>805</v>
      </c>
      <c r="E204" s="68" t="s">
        <v>824</v>
      </c>
      <c r="F204" s="68" t="n">
        <v>363</v>
      </c>
      <c r="G204" s="68" t="n">
        <v>5500</v>
      </c>
      <c r="H204" s="68" t="n">
        <v>61.32</v>
      </c>
      <c r="I204" s="68" t="n">
        <v>28.9</v>
      </c>
      <c r="J204" s="68" t="n">
        <v>2.45</v>
      </c>
      <c r="K204" s="68"/>
    </row>
    <row r="205" customFormat="false" ht="14.25" hidden="false" customHeight="true" outlineLevel="0" collapsed="false">
      <c r="A205" s="68" t="s">
        <v>16</v>
      </c>
      <c r="B205" s="68" t="s">
        <v>17</v>
      </c>
      <c r="C205" s="68" t="n">
        <v>2022</v>
      </c>
      <c r="D205" s="68" t="s">
        <v>798</v>
      </c>
      <c r="E205" s="68" t="s">
        <v>807</v>
      </c>
      <c r="F205" s="68" t="n">
        <v>3573</v>
      </c>
      <c r="G205" s="68" t="n">
        <v>9193</v>
      </c>
      <c r="H205" s="68" t="n">
        <v>105.38</v>
      </c>
      <c r="I205" s="68" t="n">
        <v>48.2</v>
      </c>
      <c r="J205" s="68" t="n">
        <v>2.23</v>
      </c>
      <c r="K205" s="68"/>
    </row>
    <row r="206" customFormat="false" ht="14.25" hidden="false" customHeight="true" outlineLevel="0" collapsed="false">
      <c r="A206" s="68" t="s">
        <v>22</v>
      </c>
      <c r="B206" s="68" t="s">
        <v>23</v>
      </c>
      <c r="C206" s="68" t="n">
        <v>2021</v>
      </c>
      <c r="D206" s="68" t="s">
        <v>805</v>
      </c>
      <c r="E206" s="68" t="s">
        <v>806</v>
      </c>
      <c r="F206" s="68" t="n">
        <v>637</v>
      </c>
      <c r="G206" s="68" t="n">
        <v>5332</v>
      </c>
      <c r="H206" s="68" t="n">
        <v>89.87</v>
      </c>
      <c r="I206" s="68" t="n">
        <v>34.5</v>
      </c>
      <c r="J206" s="68" t="n">
        <v>2.36</v>
      </c>
      <c r="K206" s="68"/>
    </row>
    <row r="207" customFormat="false" ht="14.25" hidden="false" customHeight="true" outlineLevel="0" collapsed="false">
      <c r="A207" s="68" t="s">
        <v>46</v>
      </c>
      <c r="B207" s="68" t="s">
        <v>47</v>
      </c>
      <c r="C207" s="68" t="n">
        <v>2024</v>
      </c>
      <c r="D207" s="68" t="s">
        <v>801</v>
      </c>
      <c r="E207" s="68" t="s">
        <v>301</v>
      </c>
      <c r="F207" s="68" t="n">
        <v>6793</v>
      </c>
      <c r="G207" s="68" t="n">
        <v>15420</v>
      </c>
      <c r="H207" s="68" t="n">
        <v>105.01</v>
      </c>
      <c r="I207" s="68" t="n">
        <v>63.3</v>
      </c>
      <c r="J207" s="68" t="n">
        <v>2.44</v>
      </c>
      <c r="K207" s="68"/>
    </row>
    <row r="208" customFormat="false" ht="14.25" hidden="false" customHeight="true" outlineLevel="0" collapsed="false">
      <c r="A208" s="68" t="s">
        <v>64</v>
      </c>
      <c r="B208" s="68" t="s">
        <v>65</v>
      </c>
      <c r="C208" s="68" t="n">
        <v>2023</v>
      </c>
      <c r="D208" s="68" t="s">
        <v>797</v>
      </c>
      <c r="E208" s="68" t="s">
        <v>820</v>
      </c>
      <c r="F208" s="68" t="n">
        <v>6257</v>
      </c>
      <c r="G208" s="68" t="n">
        <v>15075</v>
      </c>
      <c r="H208" s="68" t="n">
        <v>140.22</v>
      </c>
      <c r="I208" s="68" t="n">
        <v>82.3</v>
      </c>
      <c r="J208" s="68" t="n">
        <v>4.47</v>
      </c>
      <c r="K208" s="68"/>
    </row>
    <row r="209" customFormat="false" ht="14.25" hidden="false" customHeight="true" outlineLevel="0" collapsed="false">
      <c r="A209" s="68" t="s">
        <v>35</v>
      </c>
      <c r="B209" s="68" t="s">
        <v>36</v>
      </c>
      <c r="C209" s="68" t="n">
        <v>2020</v>
      </c>
      <c r="D209" s="68" t="s">
        <v>805</v>
      </c>
      <c r="E209" s="68" t="s">
        <v>824</v>
      </c>
      <c r="F209" s="68" t="n">
        <v>401</v>
      </c>
      <c r="G209" s="68" t="n">
        <v>6787</v>
      </c>
      <c r="H209" s="68" t="n">
        <v>74.42</v>
      </c>
      <c r="I209" s="68" t="n">
        <v>31.3</v>
      </c>
      <c r="J209" s="68" t="n">
        <v>2.37</v>
      </c>
      <c r="K209" s="68"/>
    </row>
    <row r="210" customFormat="false" ht="14.25" hidden="false" customHeight="true" outlineLevel="0" collapsed="false">
      <c r="A210" s="68" t="s">
        <v>22</v>
      </c>
      <c r="B210" s="68" t="s">
        <v>23</v>
      </c>
      <c r="C210" s="68" t="n">
        <v>2023</v>
      </c>
      <c r="D210" s="68" t="s">
        <v>801</v>
      </c>
      <c r="E210" s="68" t="s">
        <v>802</v>
      </c>
      <c r="F210" s="68" t="n">
        <v>6721</v>
      </c>
      <c r="G210" s="68" t="n">
        <v>15653</v>
      </c>
      <c r="H210" s="68" t="n">
        <v>110.2</v>
      </c>
      <c r="I210" s="68" t="n">
        <v>55.7</v>
      </c>
      <c r="J210" s="68" t="n">
        <v>2.31</v>
      </c>
      <c r="K210" s="68"/>
    </row>
    <row r="211" customFormat="false" ht="14.25" hidden="false" customHeight="true" outlineLevel="0" collapsed="false">
      <c r="A211" s="68" t="s">
        <v>31</v>
      </c>
      <c r="B211" s="68" t="s">
        <v>32</v>
      </c>
      <c r="C211" s="68" t="n">
        <v>2021</v>
      </c>
      <c r="D211" s="68" t="s">
        <v>798</v>
      </c>
      <c r="E211" s="68" t="s">
        <v>818</v>
      </c>
      <c r="F211" s="68" t="n">
        <v>1786</v>
      </c>
      <c r="G211" s="68" t="n">
        <v>6399</v>
      </c>
      <c r="H211" s="68" t="n">
        <v>93.66</v>
      </c>
      <c r="I211" s="68" t="n">
        <v>35.5</v>
      </c>
      <c r="J211" s="68" t="n">
        <v>2.35</v>
      </c>
      <c r="K211" s="68"/>
    </row>
    <row r="212" customFormat="false" ht="14.25" hidden="false" customHeight="true" outlineLevel="0" collapsed="false">
      <c r="A212" s="68" t="s">
        <v>53</v>
      </c>
      <c r="B212" s="68" t="s">
        <v>54</v>
      </c>
      <c r="C212" s="68" t="n">
        <v>2024</v>
      </c>
      <c r="D212" s="68" t="s">
        <v>797</v>
      </c>
      <c r="E212" s="68" t="s">
        <v>821</v>
      </c>
      <c r="F212" s="68" t="n">
        <v>13744</v>
      </c>
      <c r="G212" s="68" t="n">
        <v>29736</v>
      </c>
      <c r="H212" s="68" t="n">
        <v>121.86</v>
      </c>
      <c r="I212" s="68" t="n">
        <v>67.2</v>
      </c>
      <c r="J212" s="68" t="n">
        <v>2.68</v>
      </c>
      <c r="K212" s="68"/>
    </row>
    <row r="213" customFormat="false" ht="14.25" hidden="false" customHeight="true" outlineLevel="0" collapsed="false">
      <c r="A213" s="68" t="s">
        <v>22</v>
      </c>
      <c r="B213" s="68" t="s">
        <v>23</v>
      </c>
      <c r="C213" s="68" t="n">
        <v>2019</v>
      </c>
      <c r="D213" s="68" t="s">
        <v>801</v>
      </c>
      <c r="E213" s="68" t="s">
        <v>823</v>
      </c>
      <c r="F213" s="68" t="n">
        <v>4486</v>
      </c>
      <c r="G213" s="68" t="n">
        <v>13057</v>
      </c>
      <c r="H213" s="68" t="n">
        <v>100.05</v>
      </c>
      <c r="I213" s="68" t="n">
        <v>56.9</v>
      </c>
      <c r="J213" s="68" t="n">
        <v>2.43</v>
      </c>
      <c r="K213" s="68"/>
    </row>
    <row r="214" customFormat="false" ht="14.25" hidden="false" customHeight="true" outlineLevel="0" collapsed="false">
      <c r="A214" s="68" t="s">
        <v>31</v>
      </c>
      <c r="B214" s="68" t="s">
        <v>32</v>
      </c>
      <c r="C214" s="68" t="n">
        <v>2020</v>
      </c>
      <c r="D214" s="68" t="s">
        <v>797</v>
      </c>
      <c r="E214" s="68" t="s">
        <v>813</v>
      </c>
      <c r="F214" s="68" t="n">
        <v>4381</v>
      </c>
      <c r="G214" s="68" t="n">
        <v>13812</v>
      </c>
      <c r="H214" s="68"/>
      <c r="I214" s="68" t="n">
        <v>49.7</v>
      </c>
      <c r="J214" s="68" t="n">
        <v>2.62</v>
      </c>
      <c r="K214" s="68"/>
    </row>
    <row r="215" customFormat="false" ht="14.25" hidden="false" customHeight="true" outlineLevel="0" collapsed="false">
      <c r="A215" s="68" t="s">
        <v>53</v>
      </c>
      <c r="B215" s="68" t="s">
        <v>54</v>
      </c>
      <c r="C215" s="68" t="n">
        <v>2024</v>
      </c>
      <c r="D215" s="68" t="s">
        <v>801</v>
      </c>
      <c r="E215" s="68" t="s">
        <v>301</v>
      </c>
      <c r="F215" s="68" t="n">
        <v>13298</v>
      </c>
      <c r="G215" s="68" t="n">
        <v>25417</v>
      </c>
      <c r="H215" s="68" t="n">
        <v>126.98</v>
      </c>
      <c r="I215" s="68" t="n">
        <v>56.6</v>
      </c>
      <c r="J215" s="68" t="n">
        <v>2.45</v>
      </c>
      <c r="K215" s="68"/>
    </row>
    <row r="216" customFormat="false" ht="14.25" hidden="false" customHeight="true" outlineLevel="0" collapsed="false">
      <c r="A216" s="68" t="s">
        <v>64</v>
      </c>
      <c r="B216" s="68" t="s">
        <v>65</v>
      </c>
      <c r="C216" s="68" t="n">
        <v>2019</v>
      </c>
      <c r="D216" s="68" t="s">
        <v>797</v>
      </c>
      <c r="E216" s="68" t="s">
        <v>815</v>
      </c>
      <c r="F216" s="68" t="n">
        <v>5382</v>
      </c>
      <c r="G216" s="68" t="n">
        <v>12847</v>
      </c>
      <c r="H216" s="68" t="n">
        <v>128</v>
      </c>
      <c r="I216" s="68" t="n">
        <v>73.7</v>
      </c>
      <c r="J216" s="68" t="n">
        <v>4.26</v>
      </c>
      <c r="K216" s="68"/>
    </row>
    <row r="217" customFormat="false" ht="14.25" hidden="false" customHeight="true" outlineLevel="0" collapsed="false">
      <c r="A217" s="68" t="s">
        <v>64</v>
      </c>
      <c r="B217" s="68" t="s">
        <v>65</v>
      </c>
      <c r="C217" s="68" t="n">
        <v>2024</v>
      </c>
      <c r="D217" s="68" t="s">
        <v>801</v>
      </c>
      <c r="E217" s="68" t="s">
        <v>301</v>
      </c>
      <c r="F217" s="68" t="n">
        <v>3304</v>
      </c>
      <c r="G217" s="68" t="n">
        <v>8427</v>
      </c>
      <c r="H217" s="68" t="n">
        <v>158.42</v>
      </c>
      <c r="I217" s="68" t="n">
        <v>58.9</v>
      </c>
      <c r="J217" s="68" t="n">
        <v>3.51</v>
      </c>
      <c r="K217" s="68"/>
    </row>
    <row r="218" customFormat="false" ht="14.25" hidden="false" customHeight="true" outlineLevel="0" collapsed="false">
      <c r="A218" s="68" t="s">
        <v>64</v>
      </c>
      <c r="B218" s="68" t="s">
        <v>65</v>
      </c>
      <c r="C218" s="68" t="n">
        <v>2025</v>
      </c>
      <c r="D218" s="68" t="s">
        <v>798</v>
      </c>
      <c r="E218" s="68" t="s">
        <v>304</v>
      </c>
      <c r="F218" s="68" t="n">
        <v>1214</v>
      </c>
      <c r="G218" s="68" t="n">
        <v>2335</v>
      </c>
      <c r="H218" s="68" t="n">
        <v>176.74</v>
      </c>
      <c r="I218" s="68" t="n">
        <v>38</v>
      </c>
      <c r="J218" s="68" t="n">
        <v>3.37</v>
      </c>
      <c r="K218" s="68"/>
    </row>
    <row r="219" customFormat="false" ht="14.25" hidden="false" customHeight="true" outlineLevel="0" collapsed="false">
      <c r="A219" s="68" t="s">
        <v>31</v>
      </c>
      <c r="B219" s="68" t="s">
        <v>32</v>
      </c>
      <c r="C219" s="68" t="n">
        <v>2023</v>
      </c>
      <c r="D219" s="68" t="s">
        <v>797</v>
      </c>
      <c r="E219" s="68" t="s">
        <v>820</v>
      </c>
      <c r="F219" s="68" t="n">
        <v>10339</v>
      </c>
      <c r="G219" s="68" t="n">
        <v>24803</v>
      </c>
      <c r="H219" s="68" t="n">
        <v>112.53</v>
      </c>
      <c r="I219" s="68" t="n">
        <v>68.5</v>
      </c>
      <c r="J219" s="68" t="n">
        <v>2.55</v>
      </c>
      <c r="K219" s="68"/>
    </row>
    <row r="220" customFormat="false" ht="14.25" hidden="false" customHeight="true" outlineLevel="0" collapsed="false">
      <c r="A220" s="68" t="s">
        <v>22</v>
      </c>
      <c r="B220" s="68" t="s">
        <v>23</v>
      </c>
      <c r="C220" s="68" t="n">
        <v>2022</v>
      </c>
      <c r="D220" s="68" t="s">
        <v>797</v>
      </c>
      <c r="E220" s="68" t="s">
        <v>822</v>
      </c>
      <c r="F220" s="68" t="n">
        <v>4486</v>
      </c>
      <c r="G220" s="68" t="n">
        <v>14521</v>
      </c>
      <c r="H220" s="68" t="n">
        <v>100.6</v>
      </c>
      <c r="I220" s="68" t="n">
        <v>53.6</v>
      </c>
      <c r="J220" s="68" t="n">
        <v>2.3</v>
      </c>
      <c r="K220" s="68"/>
    </row>
    <row r="221" customFormat="false" ht="14.25" hidden="false" customHeight="true" outlineLevel="0" collapsed="false">
      <c r="A221" s="68" t="s">
        <v>35</v>
      </c>
      <c r="B221" s="68" t="s">
        <v>36</v>
      </c>
      <c r="C221" s="68" t="n">
        <v>2023</v>
      </c>
      <c r="D221" s="68" t="s">
        <v>798</v>
      </c>
      <c r="E221" s="68" t="s">
        <v>800</v>
      </c>
      <c r="F221" s="68" t="n">
        <v>5716</v>
      </c>
      <c r="G221" s="68" t="n">
        <v>15224</v>
      </c>
      <c r="H221" s="68" t="n">
        <v>127.21</v>
      </c>
      <c r="I221" s="68" t="n">
        <v>57</v>
      </c>
      <c r="J221" s="68" t="n">
        <v>2.25</v>
      </c>
      <c r="K221" s="68"/>
    </row>
    <row r="222" customFormat="false" ht="14.25" hidden="false" customHeight="true" outlineLevel="0" collapsed="false">
      <c r="A222" s="68" t="s">
        <v>64</v>
      </c>
      <c r="B222" s="68" t="s">
        <v>65</v>
      </c>
      <c r="C222" s="68" t="n">
        <v>2021</v>
      </c>
      <c r="D222" s="68" t="s">
        <v>805</v>
      </c>
      <c r="E222" s="68" t="s">
        <v>806</v>
      </c>
      <c r="F222" s="68" t="n">
        <v>180</v>
      </c>
      <c r="G222" s="68" t="n">
        <v>1660</v>
      </c>
      <c r="H222" s="68" t="n">
        <v>119.83</v>
      </c>
      <c r="I222" s="68" t="n">
        <v>31.1</v>
      </c>
      <c r="J222" s="68" t="n">
        <v>3.31</v>
      </c>
      <c r="K222" s="68"/>
    </row>
    <row r="223" customFormat="false" ht="14.25" hidden="false" customHeight="true" outlineLevel="0" collapsed="false">
      <c r="A223" s="68" t="s">
        <v>67</v>
      </c>
      <c r="B223" s="68" t="s">
        <v>68</v>
      </c>
      <c r="C223" s="68" t="n">
        <v>2019</v>
      </c>
      <c r="D223" s="68" t="s">
        <v>801</v>
      </c>
      <c r="E223" s="68" t="s">
        <v>823</v>
      </c>
      <c r="F223" s="68" t="n">
        <v>7742</v>
      </c>
      <c r="G223" s="68" t="n">
        <v>16233</v>
      </c>
      <c r="H223" s="68" t="n">
        <v>160.11</v>
      </c>
      <c r="I223" s="68" t="n">
        <v>61.1</v>
      </c>
      <c r="J223" s="68" t="n">
        <v>4.03</v>
      </c>
      <c r="K223" s="68"/>
    </row>
    <row r="224" customFormat="false" ht="14.25" hidden="false" customHeight="true" outlineLevel="0" collapsed="false">
      <c r="A224" s="68" t="s">
        <v>42</v>
      </c>
      <c r="B224" s="68" t="s">
        <v>43</v>
      </c>
      <c r="C224" s="68" t="n">
        <v>2019</v>
      </c>
      <c r="D224" s="68" t="s">
        <v>801</v>
      </c>
      <c r="E224" s="68" t="s">
        <v>823</v>
      </c>
      <c r="F224" s="68" t="n">
        <v>25570</v>
      </c>
      <c r="G224" s="68" t="n">
        <v>67314</v>
      </c>
      <c r="H224" s="68" t="n">
        <v>126.74</v>
      </c>
      <c r="I224" s="68" t="n">
        <v>69.6</v>
      </c>
      <c r="J224" s="68" t="n">
        <v>2.1</v>
      </c>
      <c r="K224" s="68"/>
    </row>
    <row r="225" customFormat="false" ht="14.25" hidden="false" customHeight="true" outlineLevel="0" collapsed="false">
      <c r="A225" s="68" t="s">
        <v>53</v>
      </c>
      <c r="B225" s="68" t="s">
        <v>54</v>
      </c>
      <c r="C225" s="68" t="n">
        <v>2021</v>
      </c>
      <c r="D225" s="68" t="s">
        <v>798</v>
      </c>
      <c r="E225" s="68" t="s">
        <v>818</v>
      </c>
      <c r="F225" s="68" t="n">
        <v>2350</v>
      </c>
      <c r="G225" s="68" t="n">
        <v>8450</v>
      </c>
      <c r="H225" s="68" t="n">
        <v>90.21</v>
      </c>
      <c r="I225" s="68" t="n">
        <v>37.4</v>
      </c>
      <c r="J225" s="68" t="n">
        <v>2.14</v>
      </c>
      <c r="K225" s="68"/>
    </row>
    <row r="226" customFormat="false" ht="14.25" hidden="false" customHeight="true" outlineLevel="0" collapsed="false">
      <c r="A226" s="68" t="s">
        <v>22</v>
      </c>
      <c r="B226" s="68" t="s">
        <v>23</v>
      </c>
      <c r="C226" s="68" t="n">
        <v>2019</v>
      </c>
      <c r="D226" s="68" t="s">
        <v>797</v>
      </c>
      <c r="E226" s="68" t="s">
        <v>815</v>
      </c>
      <c r="F226" s="68" t="n">
        <v>6681</v>
      </c>
      <c r="G226" s="68" t="n">
        <v>16504</v>
      </c>
      <c r="H226" s="68" t="n">
        <v>85.28</v>
      </c>
      <c r="I226" s="68" t="n">
        <v>61.8</v>
      </c>
      <c r="J226" s="68" t="n">
        <v>2.78</v>
      </c>
      <c r="K226" s="68"/>
    </row>
    <row r="227" customFormat="false" ht="14.25" hidden="false" customHeight="true" outlineLevel="0" collapsed="false">
      <c r="A227" s="68" t="s">
        <v>64</v>
      </c>
      <c r="B227" s="68" t="s">
        <v>65</v>
      </c>
      <c r="C227" s="68" t="n">
        <v>2025</v>
      </c>
      <c r="D227" s="68" t="s">
        <v>805</v>
      </c>
      <c r="E227" s="68" t="s">
        <v>303</v>
      </c>
      <c r="F227" s="68" t="n">
        <v>1812</v>
      </c>
      <c r="G227" s="68" t="n">
        <v>4247</v>
      </c>
      <c r="H227" s="68" t="n">
        <v>163.45</v>
      </c>
      <c r="I227" s="68"/>
      <c r="J227" s="68" t="n">
        <v>3.69</v>
      </c>
      <c r="K227" s="68"/>
    </row>
    <row r="228" customFormat="false" ht="14.25" hidden="false" customHeight="true" outlineLevel="0" collapsed="false">
      <c r="A228" s="68" t="s">
        <v>61</v>
      </c>
      <c r="B228" s="68" t="s">
        <v>62</v>
      </c>
      <c r="C228" s="68" t="n">
        <v>2022</v>
      </c>
      <c r="D228" s="68" t="s">
        <v>805</v>
      </c>
      <c r="E228" s="68" t="s">
        <v>819</v>
      </c>
      <c r="F228" s="68" t="n">
        <v>8957</v>
      </c>
      <c r="G228" s="68" t="n">
        <v>26370</v>
      </c>
      <c r="H228" s="68" t="n">
        <v>102.16</v>
      </c>
      <c r="I228" s="68" t="n">
        <v>46.9</v>
      </c>
      <c r="J228" s="68" t="n">
        <v>2.16</v>
      </c>
      <c r="K228" s="68"/>
    </row>
    <row r="229" customFormat="false" ht="14.25" hidden="false" customHeight="true" outlineLevel="0" collapsed="false">
      <c r="A229" s="68" t="s">
        <v>22</v>
      </c>
      <c r="B229" s="68" t="s">
        <v>23</v>
      </c>
      <c r="C229" s="68" t="n">
        <v>2023</v>
      </c>
      <c r="D229" s="68" t="s">
        <v>805</v>
      </c>
      <c r="E229" s="68" t="s">
        <v>809</v>
      </c>
      <c r="F229" s="68" t="n">
        <v>5704</v>
      </c>
      <c r="G229" s="68" t="n">
        <v>12842</v>
      </c>
      <c r="H229" s="68" t="n">
        <v>121.79</v>
      </c>
      <c r="I229" s="68" t="n">
        <v>55.9</v>
      </c>
      <c r="J229" s="68" t="n">
        <v>2.39</v>
      </c>
      <c r="K229" s="68"/>
    </row>
    <row r="230" customFormat="false" ht="14.25" hidden="false" customHeight="true" outlineLevel="0" collapsed="false">
      <c r="A230" s="68" t="s">
        <v>57</v>
      </c>
      <c r="B230" s="68" t="s">
        <v>58</v>
      </c>
      <c r="C230" s="68" t="n">
        <v>2024</v>
      </c>
      <c r="D230" s="68" t="s">
        <v>797</v>
      </c>
      <c r="E230" s="68" t="s">
        <v>821</v>
      </c>
      <c r="F230" s="68" t="n">
        <v>11214</v>
      </c>
      <c r="G230" s="68" t="n">
        <v>23287</v>
      </c>
      <c r="H230" s="68" t="n">
        <v>103.14</v>
      </c>
      <c r="I230" s="68" t="n">
        <v>63.1</v>
      </c>
      <c r="J230" s="68" t="n">
        <v>2.55</v>
      </c>
      <c r="K230" s="68"/>
    </row>
    <row r="231" customFormat="false" ht="14.25" hidden="false" customHeight="true" outlineLevel="0" collapsed="false">
      <c r="A231" s="68" t="s">
        <v>57</v>
      </c>
      <c r="B231" s="68" t="s">
        <v>58</v>
      </c>
      <c r="C231" s="68" t="n">
        <v>2021</v>
      </c>
      <c r="D231" s="68" t="s">
        <v>798</v>
      </c>
      <c r="E231" s="68" t="s">
        <v>818</v>
      </c>
      <c r="F231" s="68" t="n">
        <v>1363</v>
      </c>
      <c r="G231" s="68" t="n">
        <v>5412</v>
      </c>
      <c r="H231" s="68" t="n">
        <v>81.55</v>
      </c>
      <c r="I231" s="68" t="n">
        <v>30.6</v>
      </c>
      <c r="J231" s="68" t="n">
        <v>2.29</v>
      </c>
      <c r="K231" s="68"/>
    </row>
    <row r="232" customFormat="false" ht="14.25" hidden="false" customHeight="true" outlineLevel="0" collapsed="false">
      <c r="A232" s="68" t="s">
        <v>50</v>
      </c>
      <c r="B232" s="68" t="s">
        <v>51</v>
      </c>
      <c r="C232" s="68" t="n">
        <v>2023</v>
      </c>
      <c r="D232" s="68" t="s">
        <v>805</v>
      </c>
      <c r="E232" s="68" t="s">
        <v>809</v>
      </c>
      <c r="F232" s="68" t="n">
        <v>6664</v>
      </c>
      <c r="G232" s="68" t="n">
        <v>14202</v>
      </c>
      <c r="H232" s="68" t="n">
        <v>144.99</v>
      </c>
      <c r="I232" s="68" t="n">
        <v>62.4</v>
      </c>
      <c r="J232" s="68" t="n">
        <v>2.31</v>
      </c>
      <c r="K232" s="68"/>
    </row>
    <row r="233" customFormat="false" ht="14.25" hidden="false" customHeight="true" outlineLevel="0" collapsed="false">
      <c r="A233" s="68" t="s">
        <v>31</v>
      </c>
      <c r="B233" s="68" t="s">
        <v>32</v>
      </c>
      <c r="C233" s="68" t="n">
        <v>2022</v>
      </c>
      <c r="D233" s="68" t="s">
        <v>801</v>
      </c>
      <c r="E233" s="68" t="s">
        <v>803</v>
      </c>
      <c r="F233" s="68" t="n">
        <v>6254</v>
      </c>
      <c r="G233" s="68" t="n">
        <v>18416</v>
      </c>
      <c r="H233" s="68" t="n">
        <v>123.46</v>
      </c>
      <c r="I233" s="68" t="n">
        <v>47.9</v>
      </c>
      <c r="J233" s="68" t="n">
        <v>2.33</v>
      </c>
      <c r="K233" s="68"/>
    </row>
    <row r="234" customFormat="false" ht="14.25" hidden="false" customHeight="true" outlineLevel="0" collapsed="false">
      <c r="A234" s="68" t="s">
        <v>39</v>
      </c>
      <c r="B234" s="68" t="s">
        <v>40</v>
      </c>
      <c r="C234" s="68" t="n">
        <v>2023</v>
      </c>
      <c r="D234" s="68" t="s">
        <v>797</v>
      </c>
      <c r="E234" s="68" t="s">
        <v>820</v>
      </c>
      <c r="F234" s="68" t="n">
        <v>26431</v>
      </c>
      <c r="G234" s="68" t="n">
        <v>51651</v>
      </c>
      <c r="H234" s="68" t="n">
        <v>112.33</v>
      </c>
      <c r="I234" s="68" t="n">
        <v>67.5</v>
      </c>
      <c r="J234" s="68" t="n">
        <v>2.54</v>
      </c>
      <c r="K234" s="68"/>
    </row>
    <row r="235" customFormat="false" ht="14.25" hidden="false" customHeight="true" outlineLevel="0" collapsed="false">
      <c r="A235" s="68" t="s">
        <v>16</v>
      </c>
      <c r="B235" s="68" t="s">
        <v>17</v>
      </c>
      <c r="C235" s="68" t="n">
        <v>2019</v>
      </c>
      <c r="D235" s="68" t="s">
        <v>801</v>
      </c>
      <c r="E235" s="68" t="s">
        <v>823</v>
      </c>
      <c r="F235" s="68" t="n">
        <v>5501</v>
      </c>
      <c r="G235" s="68" t="n">
        <v>12713</v>
      </c>
      <c r="H235" s="68" t="n">
        <v>96.47</v>
      </c>
      <c r="I235" s="68" t="n">
        <v>59.5</v>
      </c>
      <c r="J235" s="68" t="n">
        <v>2.44</v>
      </c>
      <c r="K235" s="68"/>
    </row>
    <row r="236" customFormat="false" ht="14.25" hidden="false" customHeight="true" outlineLevel="0" collapsed="false">
      <c r="A236" s="68" t="s">
        <v>55</v>
      </c>
      <c r="B236" s="68" t="s">
        <v>825</v>
      </c>
      <c r="C236" s="68" t="n">
        <v>2023</v>
      </c>
      <c r="D236" s="68" t="s">
        <v>801</v>
      </c>
      <c r="E236" s="68" t="s">
        <v>802</v>
      </c>
      <c r="F236" s="68" t="n">
        <v>13850</v>
      </c>
      <c r="G236" s="68" t="n">
        <v>28838</v>
      </c>
      <c r="H236" s="68" t="n">
        <v>98.38</v>
      </c>
      <c r="I236" s="68" t="n">
        <v>63.1</v>
      </c>
      <c r="J236" s="68" t="n">
        <v>2.42</v>
      </c>
      <c r="K236" s="68"/>
    </row>
    <row r="237" customFormat="false" ht="14.25" hidden="false" customHeight="true" outlineLevel="0" collapsed="false">
      <c r="A237" s="68" t="s">
        <v>27</v>
      </c>
      <c r="B237" s="68" t="s">
        <v>28</v>
      </c>
      <c r="C237" s="68" t="n">
        <v>2022</v>
      </c>
      <c r="D237" s="68" t="s">
        <v>805</v>
      </c>
      <c r="E237" s="68" t="s">
        <v>819</v>
      </c>
      <c r="F237" s="68" t="n">
        <v>6444</v>
      </c>
      <c r="G237" s="68" t="n">
        <v>18147</v>
      </c>
      <c r="H237" s="68" t="n">
        <v>100.45</v>
      </c>
      <c r="I237" s="68" t="n">
        <v>43.8</v>
      </c>
      <c r="J237" s="68" t="n">
        <v>2.45</v>
      </c>
      <c r="K237" s="68"/>
    </row>
    <row r="238" customFormat="false" ht="14.25" hidden="false" customHeight="true" outlineLevel="0" collapsed="false">
      <c r="A238" s="68" t="s">
        <v>67</v>
      </c>
      <c r="B238" s="68" t="s">
        <v>68</v>
      </c>
      <c r="C238" s="68" t="n">
        <v>2019</v>
      </c>
      <c r="D238" s="68" t="s">
        <v>798</v>
      </c>
      <c r="E238" s="68" t="s">
        <v>799</v>
      </c>
      <c r="F238" s="68" t="n">
        <v>1849</v>
      </c>
      <c r="G238" s="68" t="n">
        <v>3843</v>
      </c>
      <c r="H238" s="68" t="n">
        <v>166.96</v>
      </c>
      <c r="I238" s="68" t="n">
        <v>37.1</v>
      </c>
      <c r="J238" s="68" t="n">
        <v>3.27</v>
      </c>
      <c r="K238" s="68"/>
    </row>
    <row r="239" customFormat="false" ht="14.25" hidden="false" customHeight="true" outlineLevel="0" collapsed="false">
      <c r="A239" s="68" t="s">
        <v>22</v>
      </c>
      <c r="B239" s="68" t="s">
        <v>23</v>
      </c>
      <c r="C239" s="68" t="n">
        <v>2021</v>
      </c>
      <c r="D239" s="68" t="s">
        <v>798</v>
      </c>
      <c r="E239" s="68" t="s">
        <v>818</v>
      </c>
      <c r="F239" s="68" t="n">
        <v>1180</v>
      </c>
      <c r="G239" s="68" t="n">
        <v>5041</v>
      </c>
      <c r="H239" s="68" t="n">
        <v>82.99</v>
      </c>
      <c r="I239" s="68" t="n">
        <v>33.5</v>
      </c>
      <c r="J239" s="68" t="n">
        <v>2.29</v>
      </c>
      <c r="K239" s="68"/>
    </row>
    <row r="240" customFormat="false" ht="14.25" hidden="false" customHeight="true" outlineLevel="0" collapsed="false">
      <c r="A240" s="68" t="s">
        <v>39</v>
      </c>
      <c r="B240" s="68" t="s">
        <v>40</v>
      </c>
      <c r="C240" s="68" t="n">
        <v>2021</v>
      </c>
      <c r="D240" s="68" t="s">
        <v>805</v>
      </c>
      <c r="E240" s="68" t="s">
        <v>806</v>
      </c>
      <c r="F240" s="68" t="n">
        <v>1877</v>
      </c>
      <c r="G240" s="68" t="n">
        <v>14446</v>
      </c>
      <c r="H240" s="68" t="n">
        <v>86.75</v>
      </c>
      <c r="I240" s="68" t="n">
        <v>39.3</v>
      </c>
      <c r="J240" s="68" t="n">
        <v>2.44</v>
      </c>
      <c r="K240" s="68"/>
    </row>
    <row r="241" customFormat="false" ht="14.25" hidden="false" customHeight="true" outlineLevel="0" collapsed="false">
      <c r="A241" s="68" t="s">
        <v>42</v>
      </c>
      <c r="B241" s="68" t="s">
        <v>43</v>
      </c>
      <c r="C241" s="68" t="n">
        <v>2023</v>
      </c>
      <c r="D241" s="68" t="s">
        <v>798</v>
      </c>
      <c r="E241" s="68" t="s">
        <v>800</v>
      </c>
      <c r="F241" s="68" t="n">
        <v>26279</v>
      </c>
      <c r="G241" s="68" t="n">
        <v>47746</v>
      </c>
      <c r="H241" s="68" t="n">
        <v>145.17</v>
      </c>
      <c r="I241" s="68" t="n">
        <v>53.9</v>
      </c>
      <c r="J241" s="68" t="n">
        <v>2.12</v>
      </c>
      <c r="K241" s="68"/>
    </row>
    <row r="242" customFormat="false" ht="14.25" hidden="false" customHeight="true" outlineLevel="0" collapsed="false">
      <c r="A242" s="68" t="s">
        <v>67</v>
      </c>
      <c r="B242" s="68" t="s">
        <v>68</v>
      </c>
      <c r="C242" s="68" t="n">
        <v>2024</v>
      </c>
      <c r="D242" s="68" t="s">
        <v>797</v>
      </c>
      <c r="E242" s="68" t="s">
        <v>821</v>
      </c>
      <c r="F242" s="68" t="n">
        <v>16759</v>
      </c>
      <c r="G242" s="68" t="n">
        <v>30711</v>
      </c>
      <c r="H242" s="68" t="n">
        <v>200.73</v>
      </c>
      <c r="I242" s="68" t="n">
        <v>71.9</v>
      </c>
      <c r="J242" s="68" t="n">
        <v>4.39</v>
      </c>
      <c r="K242" s="68"/>
    </row>
    <row r="243" customFormat="false" ht="14.25" hidden="false" customHeight="true" outlineLevel="0" collapsed="false">
      <c r="A243" s="68" t="s">
        <v>31</v>
      </c>
      <c r="B243" s="68" t="s">
        <v>32</v>
      </c>
      <c r="C243" s="68" t="n">
        <v>2023</v>
      </c>
      <c r="D243" s="68" t="s">
        <v>801</v>
      </c>
      <c r="E243" s="68" t="s">
        <v>802</v>
      </c>
      <c r="F243" s="68" t="n">
        <v>10360</v>
      </c>
      <c r="G243" s="68" t="n">
        <v>19395</v>
      </c>
      <c r="H243" s="68" t="n">
        <v>115.29</v>
      </c>
      <c r="I243" s="68" t="n">
        <v>66.3</v>
      </c>
      <c r="J243" s="68" t="n">
        <v>2.46</v>
      </c>
      <c r="K243" s="68"/>
    </row>
    <row r="244" customFormat="false" ht="14.25" hidden="false" customHeight="true" outlineLevel="0" collapsed="false">
      <c r="A244" s="68" t="s">
        <v>39</v>
      </c>
      <c r="B244" s="68" t="s">
        <v>40</v>
      </c>
      <c r="C244" s="68" t="n">
        <v>2023</v>
      </c>
      <c r="D244" s="68" t="s">
        <v>805</v>
      </c>
      <c r="E244" s="68" t="s">
        <v>809</v>
      </c>
      <c r="F244" s="68" t="n">
        <v>14711</v>
      </c>
      <c r="G244" s="68" t="n">
        <v>41321</v>
      </c>
      <c r="H244" s="68" t="n">
        <v>124.41</v>
      </c>
      <c r="I244" s="68" t="n">
        <v>59.3</v>
      </c>
      <c r="J244" s="68" t="n">
        <v>2.21</v>
      </c>
      <c r="K244" s="68"/>
    </row>
    <row r="245" customFormat="false" ht="14.25" hidden="false" customHeight="true" outlineLevel="0" collapsed="false">
      <c r="A245" s="68" t="s">
        <v>35</v>
      </c>
      <c r="B245" s="68" t="s">
        <v>36</v>
      </c>
      <c r="C245" s="68" t="n">
        <v>2019</v>
      </c>
      <c r="D245" s="68" t="s">
        <v>801</v>
      </c>
      <c r="E245" s="68" t="s">
        <v>823</v>
      </c>
      <c r="F245" s="68" t="n">
        <v>9628</v>
      </c>
      <c r="G245" s="68" t="n">
        <v>21198</v>
      </c>
      <c r="H245" s="68"/>
      <c r="I245" s="68" t="n">
        <v>56.3</v>
      </c>
      <c r="J245" s="68" t="n">
        <v>2.55</v>
      </c>
      <c r="K245" s="68"/>
    </row>
    <row r="246" customFormat="false" ht="14.25" hidden="false" customHeight="true" outlineLevel="0" collapsed="false">
      <c r="A246" s="68" t="s">
        <v>50</v>
      </c>
      <c r="B246" s="68" t="s">
        <v>51</v>
      </c>
      <c r="C246" s="68" t="n">
        <v>2019</v>
      </c>
      <c r="D246" s="68" t="s">
        <v>797</v>
      </c>
      <c r="E246" s="68" t="s">
        <v>815</v>
      </c>
      <c r="F246" s="68" t="n">
        <v>6105</v>
      </c>
      <c r="G246" s="68" t="n">
        <v>16524</v>
      </c>
      <c r="H246" s="68" t="n">
        <v>113.38</v>
      </c>
      <c r="I246" s="68" t="n">
        <v>71.6</v>
      </c>
      <c r="J246" s="68" t="n">
        <v>2.68</v>
      </c>
      <c r="K246" s="68"/>
    </row>
    <row r="247" customFormat="false" ht="14.25" hidden="false" customHeight="true" outlineLevel="0" collapsed="false">
      <c r="A247" s="68" t="s">
        <v>31</v>
      </c>
      <c r="B247" s="68" t="s">
        <v>32</v>
      </c>
      <c r="C247" s="68" t="n">
        <v>2024</v>
      </c>
      <c r="D247" s="68" t="s">
        <v>798</v>
      </c>
      <c r="E247" s="68" t="s">
        <v>808</v>
      </c>
      <c r="F247" s="68" t="n">
        <v>6270</v>
      </c>
      <c r="G247" s="68" t="n">
        <v>12058</v>
      </c>
      <c r="H247" s="68" t="n">
        <v>114.9</v>
      </c>
      <c r="I247" s="68" t="n">
        <v>47.5</v>
      </c>
      <c r="J247" s="68" t="n">
        <v>2.17</v>
      </c>
      <c r="K247" s="68"/>
    </row>
    <row r="248" customFormat="false" ht="14.25" hidden="false" customHeight="true" outlineLevel="0" collapsed="false">
      <c r="A248" s="68" t="s">
        <v>42</v>
      </c>
      <c r="B248" s="68" t="s">
        <v>43</v>
      </c>
      <c r="C248" s="68" t="n">
        <v>2022</v>
      </c>
      <c r="D248" s="68" t="s">
        <v>805</v>
      </c>
      <c r="E248" s="68" t="s">
        <v>819</v>
      </c>
      <c r="F248" s="68" t="n">
        <v>21256</v>
      </c>
      <c r="G248" s="68" t="n">
        <v>49307</v>
      </c>
      <c r="H248" s="68" t="n">
        <v>140.98</v>
      </c>
      <c r="I248" s="68" t="n">
        <v>47.1</v>
      </c>
      <c r="J248" s="68" t="n">
        <v>2.47</v>
      </c>
      <c r="K248" s="68"/>
    </row>
    <row r="249" customFormat="false" ht="14.25" hidden="false" customHeight="true" outlineLevel="0" collapsed="false">
      <c r="A249" s="68" t="s">
        <v>61</v>
      </c>
      <c r="B249" s="68" t="s">
        <v>62</v>
      </c>
      <c r="C249" s="68" t="n">
        <v>2023</v>
      </c>
      <c r="D249" s="68" t="s">
        <v>805</v>
      </c>
      <c r="E249" s="68" t="s">
        <v>809</v>
      </c>
      <c r="F249" s="68" t="n">
        <v>12344</v>
      </c>
      <c r="G249" s="68" t="n">
        <v>38169</v>
      </c>
      <c r="H249" s="68" t="n">
        <v>116.55</v>
      </c>
      <c r="I249" s="68" t="n">
        <v>48.2</v>
      </c>
      <c r="J249" s="68" t="n">
        <v>2.28</v>
      </c>
      <c r="K249" s="68"/>
    </row>
    <row r="250" customFormat="false" ht="14.25" hidden="false" customHeight="true" outlineLevel="0" collapsed="false">
      <c r="A250" s="68" t="s">
        <v>61</v>
      </c>
      <c r="B250" s="68" t="s">
        <v>62</v>
      </c>
      <c r="C250" s="68" t="n">
        <v>2023</v>
      </c>
      <c r="D250" s="68" t="s">
        <v>801</v>
      </c>
      <c r="E250" s="68" t="s">
        <v>802</v>
      </c>
      <c r="F250" s="68" t="n">
        <v>16811</v>
      </c>
      <c r="G250" s="68" t="n">
        <v>42630</v>
      </c>
      <c r="H250" s="68" t="n">
        <v>133.86</v>
      </c>
      <c r="I250" s="68" t="n">
        <v>61</v>
      </c>
      <c r="J250" s="68" t="n">
        <v>2.42</v>
      </c>
      <c r="K250" s="68"/>
    </row>
    <row r="251" customFormat="false" ht="14.25" hidden="false" customHeight="true" outlineLevel="0" collapsed="false">
      <c r="A251" s="68" t="s">
        <v>53</v>
      </c>
      <c r="B251" s="68" t="s">
        <v>54</v>
      </c>
      <c r="C251" s="68" t="n">
        <v>2020</v>
      </c>
      <c r="D251" s="68" t="s">
        <v>798</v>
      </c>
      <c r="E251" s="68" t="s">
        <v>816</v>
      </c>
      <c r="F251" s="68" t="n">
        <v>329</v>
      </c>
      <c r="G251" s="68" t="n">
        <v>5612</v>
      </c>
      <c r="H251" s="68" t="n">
        <v>77.5</v>
      </c>
      <c r="I251" s="68" t="n">
        <v>31.7</v>
      </c>
      <c r="J251" s="68" t="n">
        <v>2.17</v>
      </c>
      <c r="K251" s="68"/>
    </row>
    <row r="252" customFormat="false" ht="14.25" hidden="false" customHeight="true" outlineLevel="0" collapsed="false">
      <c r="A252" s="68" t="s">
        <v>46</v>
      </c>
      <c r="B252" s="68" t="s">
        <v>47</v>
      </c>
      <c r="C252" s="68" t="n">
        <v>2024</v>
      </c>
      <c r="D252" s="68" t="s">
        <v>798</v>
      </c>
      <c r="E252" s="68" t="s">
        <v>808</v>
      </c>
      <c r="F252" s="68" t="n">
        <v>4321</v>
      </c>
      <c r="G252" s="68" t="n">
        <v>9960</v>
      </c>
      <c r="H252" s="68" t="n">
        <v>104.63</v>
      </c>
      <c r="I252" s="68" t="n">
        <v>48.5</v>
      </c>
      <c r="J252" s="68" t="n">
        <v>2.13</v>
      </c>
      <c r="K252" s="68"/>
    </row>
    <row r="253" customFormat="false" ht="14.25" hidden="false" customHeight="true" outlineLevel="0" collapsed="false">
      <c r="A253" s="68" t="s">
        <v>42</v>
      </c>
      <c r="B253" s="68" t="s">
        <v>43</v>
      </c>
      <c r="C253" s="68" t="n">
        <v>2022</v>
      </c>
      <c r="D253" s="68" t="s">
        <v>797</v>
      </c>
      <c r="E253" s="68" t="s">
        <v>822</v>
      </c>
      <c r="F253" s="68" t="n">
        <v>29175</v>
      </c>
      <c r="G253" s="68" t="n">
        <v>66847</v>
      </c>
      <c r="H253" s="68" t="n">
        <v>120.13</v>
      </c>
      <c r="I253" s="68" t="n">
        <v>61.8</v>
      </c>
      <c r="J253" s="68" t="n">
        <v>2.53</v>
      </c>
      <c r="K253" s="68"/>
    </row>
    <row r="254" customFormat="false" ht="14.25" hidden="false" customHeight="true" outlineLevel="0" collapsed="false">
      <c r="A254" s="68" t="s">
        <v>39</v>
      </c>
      <c r="B254" s="68" t="s">
        <v>40</v>
      </c>
      <c r="C254" s="68" t="n">
        <v>2021</v>
      </c>
      <c r="D254" s="68" t="s">
        <v>801</v>
      </c>
      <c r="E254" s="68" t="s">
        <v>812</v>
      </c>
      <c r="F254" s="68" t="n">
        <v>6712</v>
      </c>
      <c r="G254" s="68" t="n">
        <v>24058</v>
      </c>
      <c r="H254" s="68" t="n">
        <v>99.62</v>
      </c>
      <c r="I254" s="68" t="n">
        <v>41.3</v>
      </c>
      <c r="J254" s="68" t="n">
        <v>2.34</v>
      </c>
      <c r="K254" s="68"/>
    </row>
    <row r="255" customFormat="false" ht="14.25" hidden="false" customHeight="true" outlineLevel="0" collapsed="false">
      <c r="A255" s="68" t="s">
        <v>31</v>
      </c>
      <c r="B255" s="68" t="s">
        <v>32</v>
      </c>
      <c r="C255" s="68" t="n">
        <v>2023</v>
      </c>
      <c r="D255" s="68" t="s">
        <v>798</v>
      </c>
      <c r="E255" s="68" t="s">
        <v>800</v>
      </c>
      <c r="F255" s="68" t="n">
        <v>6137</v>
      </c>
      <c r="G255" s="68" t="n">
        <v>12162</v>
      </c>
      <c r="H255" s="68" t="n">
        <v>105.14</v>
      </c>
      <c r="I255" s="68" t="n">
        <v>46</v>
      </c>
      <c r="J255" s="68" t="n">
        <v>2.16</v>
      </c>
      <c r="K255" s="68"/>
    </row>
    <row r="256" customFormat="false" ht="14.25" hidden="false" customHeight="true" outlineLevel="0" collapsed="false">
      <c r="A256" s="68" t="s">
        <v>67</v>
      </c>
      <c r="B256" s="68" t="s">
        <v>68</v>
      </c>
      <c r="C256" s="68" t="n">
        <v>2019</v>
      </c>
      <c r="D256" s="68" t="s">
        <v>797</v>
      </c>
      <c r="E256" s="68" t="s">
        <v>815</v>
      </c>
      <c r="F256" s="68" t="n">
        <v>10417</v>
      </c>
      <c r="G256" s="68" t="n">
        <v>26118</v>
      </c>
      <c r="H256" s="68" t="n">
        <v>149.42</v>
      </c>
      <c r="I256" s="68" t="n">
        <v>88.7</v>
      </c>
      <c r="J256" s="68" t="n">
        <v>4.42</v>
      </c>
      <c r="K256" s="68"/>
    </row>
    <row r="257" customFormat="false" ht="14.25" hidden="false" customHeight="true" outlineLevel="0" collapsed="false">
      <c r="A257" s="68" t="s">
        <v>55</v>
      </c>
      <c r="B257" s="68" t="s">
        <v>56</v>
      </c>
      <c r="C257" s="68" t="n">
        <v>2019</v>
      </c>
      <c r="D257" s="68" t="s">
        <v>798</v>
      </c>
      <c r="E257" s="68" t="s">
        <v>799</v>
      </c>
      <c r="F257" s="68" t="n">
        <v>6157</v>
      </c>
      <c r="G257" s="68" t="n">
        <v>15678</v>
      </c>
      <c r="H257" s="68" t="n">
        <v>86.25</v>
      </c>
      <c r="I257" s="68" t="n">
        <v>40.4</v>
      </c>
      <c r="J257" s="68" t="n">
        <v>2.12</v>
      </c>
      <c r="K257" s="68"/>
    </row>
    <row r="258" customFormat="false" ht="14.25" hidden="false" customHeight="true" outlineLevel="0" collapsed="false">
      <c r="A258" s="68" t="s">
        <v>61</v>
      </c>
      <c r="B258" s="68" t="s">
        <v>62</v>
      </c>
      <c r="C258" s="68" t="n">
        <v>2023</v>
      </c>
      <c r="D258" s="68" t="s">
        <v>797</v>
      </c>
      <c r="E258" s="68" t="s">
        <v>820</v>
      </c>
      <c r="F258" s="68" t="n">
        <v>24080</v>
      </c>
      <c r="G258" s="68" t="n">
        <v>44550</v>
      </c>
      <c r="H258" s="68" t="n">
        <v>115.27</v>
      </c>
      <c r="I258" s="68" t="n">
        <v>66.6</v>
      </c>
      <c r="J258" s="68" t="n">
        <v>2.83</v>
      </c>
      <c r="K258" s="68"/>
    </row>
    <row r="259" customFormat="false" ht="14.25" hidden="false" customHeight="true" outlineLevel="0" collapsed="false">
      <c r="A259" s="68" t="s">
        <v>53</v>
      </c>
      <c r="B259" s="68" t="s">
        <v>54</v>
      </c>
      <c r="C259" s="68" t="n">
        <v>2021</v>
      </c>
      <c r="D259" s="68" t="s">
        <v>805</v>
      </c>
      <c r="E259" s="68" t="s">
        <v>806</v>
      </c>
      <c r="F259" s="68" t="n">
        <v>879</v>
      </c>
      <c r="G259" s="68" t="n">
        <v>8046</v>
      </c>
      <c r="H259" s="68" t="n">
        <v>88.01</v>
      </c>
      <c r="I259" s="68" t="n">
        <v>35</v>
      </c>
      <c r="J259" s="68" t="n">
        <v>2.35</v>
      </c>
      <c r="K259" s="68"/>
    </row>
    <row r="260" customFormat="false" ht="14.25" hidden="false" customHeight="true" outlineLevel="0" collapsed="false">
      <c r="A260" s="68" t="s">
        <v>53</v>
      </c>
      <c r="B260" s="68" t="s">
        <v>54</v>
      </c>
      <c r="C260" s="68" t="n">
        <v>2023</v>
      </c>
      <c r="D260" s="68" t="s">
        <v>805</v>
      </c>
      <c r="E260" s="68" t="s">
        <v>809</v>
      </c>
      <c r="F260" s="68" t="n">
        <v>8842</v>
      </c>
      <c r="G260" s="68" t="n">
        <v>21359</v>
      </c>
      <c r="H260" s="68" t="n">
        <v>115.37</v>
      </c>
      <c r="I260" s="68" t="n">
        <v>51.1</v>
      </c>
      <c r="J260" s="68" t="n">
        <v>2.41</v>
      </c>
      <c r="K260" s="68"/>
    </row>
    <row r="261" customFormat="false" ht="14.25" hidden="false" customHeight="true" outlineLevel="0" collapsed="false">
      <c r="A261" s="68" t="s">
        <v>61</v>
      </c>
      <c r="B261" s="68" t="s">
        <v>62</v>
      </c>
      <c r="C261" s="68" t="n">
        <v>2021</v>
      </c>
      <c r="D261" s="68" t="s">
        <v>798</v>
      </c>
      <c r="E261" s="68" t="s">
        <v>818</v>
      </c>
      <c r="F261" s="68" t="n">
        <v>3392</v>
      </c>
      <c r="G261" s="68" t="n">
        <v>13025</v>
      </c>
      <c r="H261" s="68" t="n">
        <v>92.66</v>
      </c>
      <c r="I261" s="68" t="n">
        <v>38.1</v>
      </c>
      <c r="J261" s="68" t="n">
        <v>2.45</v>
      </c>
      <c r="K261" s="68"/>
    </row>
    <row r="262" customFormat="false" ht="14.25" hidden="false" customHeight="true" outlineLevel="0" collapsed="false">
      <c r="A262" s="68" t="s">
        <v>46</v>
      </c>
      <c r="B262" s="68" t="s">
        <v>47</v>
      </c>
      <c r="C262" s="68" t="n">
        <v>2019</v>
      </c>
      <c r="D262" s="68" t="s">
        <v>805</v>
      </c>
      <c r="E262" s="68" t="s">
        <v>817</v>
      </c>
      <c r="F262" s="68" t="n">
        <v>4491</v>
      </c>
      <c r="G262" s="68" t="n">
        <v>10290</v>
      </c>
      <c r="H262" s="68" t="n">
        <v>91.51</v>
      </c>
      <c r="I262" s="68" t="n">
        <v>46.2</v>
      </c>
      <c r="J262" s="68" t="n">
        <v>2.33</v>
      </c>
      <c r="K262" s="68"/>
    </row>
    <row r="263" customFormat="false" ht="14.25" hidden="false" customHeight="true" outlineLevel="0" collapsed="false">
      <c r="A263" s="68" t="s">
        <v>64</v>
      </c>
      <c r="B263" s="68" t="s">
        <v>65</v>
      </c>
      <c r="C263" s="68" t="n">
        <v>2024</v>
      </c>
      <c r="D263" s="68" t="s">
        <v>798</v>
      </c>
      <c r="E263" s="68" t="s">
        <v>808</v>
      </c>
      <c r="F263" s="68" t="n">
        <v>1036</v>
      </c>
      <c r="G263" s="68" t="n">
        <v>2272</v>
      </c>
      <c r="H263" s="68" t="n">
        <v>157.68</v>
      </c>
      <c r="I263" s="68" t="n">
        <v>36.2</v>
      </c>
      <c r="J263" s="68" t="n">
        <v>3.31</v>
      </c>
      <c r="K263" s="68"/>
    </row>
    <row r="264" customFormat="false" ht="14.25" hidden="false" customHeight="true" outlineLevel="0" collapsed="false">
      <c r="A264" s="68" t="s">
        <v>46</v>
      </c>
      <c r="B264" s="68" t="s">
        <v>47</v>
      </c>
      <c r="C264" s="68" t="n">
        <v>2025</v>
      </c>
      <c r="D264" s="68" t="s">
        <v>797</v>
      </c>
      <c r="E264" s="68" t="s">
        <v>302</v>
      </c>
      <c r="F264" s="68" t="n">
        <v>8336</v>
      </c>
      <c r="G264" s="68" t="n">
        <v>18157</v>
      </c>
      <c r="H264" s="68" t="n">
        <v>108.36</v>
      </c>
      <c r="I264" s="68" t="n">
        <v>66.8</v>
      </c>
      <c r="J264" s="68" t="n">
        <v>2.78</v>
      </c>
      <c r="K264" s="68"/>
    </row>
    <row r="265" customFormat="false" ht="14.25" hidden="false" customHeight="true" outlineLevel="0" collapsed="false">
      <c r="A265" s="68" t="s">
        <v>55</v>
      </c>
      <c r="B265" s="68" t="s">
        <v>56</v>
      </c>
      <c r="C265" s="68" t="n">
        <v>2020</v>
      </c>
      <c r="D265" s="68" t="s">
        <v>801</v>
      </c>
      <c r="E265" s="68" t="s">
        <v>810</v>
      </c>
      <c r="F265" s="68" t="n">
        <v>658</v>
      </c>
      <c r="G265" s="68" t="n">
        <v>9021</v>
      </c>
      <c r="H265" s="68" t="n">
        <v>67.54</v>
      </c>
      <c r="I265" s="68" t="n">
        <v>29.9</v>
      </c>
      <c r="J265" s="68" t="n">
        <v>2.34</v>
      </c>
      <c r="K265" s="68"/>
    </row>
    <row r="266" customFormat="false" ht="14.25" hidden="false" customHeight="true" outlineLevel="0" collapsed="false">
      <c r="A266" s="68" t="s">
        <v>55</v>
      </c>
      <c r="B266" s="68" t="s">
        <v>56</v>
      </c>
      <c r="C266" s="68" t="n">
        <v>2022</v>
      </c>
      <c r="D266" s="68" t="s">
        <v>801</v>
      </c>
      <c r="E266" s="68" t="s">
        <v>803</v>
      </c>
      <c r="F266" s="68" t="n">
        <v>10208</v>
      </c>
      <c r="G266" s="68" t="n">
        <v>24658</v>
      </c>
      <c r="H266" s="68" t="n">
        <v>89.19</v>
      </c>
      <c r="I266" s="71"/>
      <c r="J266" s="68" t="n">
        <v>2.49</v>
      </c>
      <c r="K266" s="68" t="s">
        <v>826</v>
      </c>
    </row>
    <row r="267" customFormat="false" ht="14.25" hidden="false" customHeight="true" outlineLevel="0" collapsed="false">
      <c r="A267" s="68" t="s">
        <v>50</v>
      </c>
      <c r="B267" s="68" t="s">
        <v>51</v>
      </c>
      <c r="C267" s="68" t="n">
        <v>2021</v>
      </c>
      <c r="D267" s="68" t="s">
        <v>798</v>
      </c>
      <c r="E267" s="68" t="s">
        <v>818</v>
      </c>
      <c r="F267" s="68" t="n">
        <v>1754</v>
      </c>
      <c r="G267" s="68" t="n">
        <v>5413</v>
      </c>
      <c r="H267" s="68" t="n">
        <v>104.42</v>
      </c>
      <c r="I267" s="68" t="n">
        <v>35.1</v>
      </c>
      <c r="J267" s="68" t="n">
        <v>2.28</v>
      </c>
      <c r="K267" s="68"/>
    </row>
    <row r="268" customFormat="false" ht="14.25" hidden="false" customHeight="true" outlineLevel="0" collapsed="false">
      <c r="A268" s="68" t="s">
        <v>46</v>
      </c>
      <c r="B268" s="68" t="s">
        <v>47</v>
      </c>
      <c r="C268" s="68" t="n">
        <v>2025</v>
      </c>
      <c r="D268" s="68" t="s">
        <v>805</v>
      </c>
      <c r="E268" s="68" t="s">
        <v>303</v>
      </c>
      <c r="F268" s="68" t="n">
        <v>5479</v>
      </c>
      <c r="G268" s="68" t="n">
        <v>11519</v>
      </c>
      <c r="H268" s="68" t="n">
        <v>104.89</v>
      </c>
      <c r="I268" s="68" t="n">
        <v>52</v>
      </c>
      <c r="J268" s="68" t="n">
        <v>2.49</v>
      </c>
      <c r="K268" s="68"/>
    </row>
    <row r="269" customFormat="false" ht="14.25" hidden="false" customHeight="true" outlineLevel="0" collapsed="false">
      <c r="A269" s="68" t="s">
        <v>22</v>
      </c>
      <c r="B269" s="68" t="s">
        <v>23</v>
      </c>
      <c r="C269" s="68" t="n">
        <v>2024</v>
      </c>
      <c r="D269" s="68" t="s">
        <v>805</v>
      </c>
      <c r="E269" s="68" t="s">
        <v>811</v>
      </c>
      <c r="F269" s="68" t="n">
        <v>5604</v>
      </c>
      <c r="G269" s="68" t="n">
        <v>12989</v>
      </c>
      <c r="H269" s="68" t="n">
        <v>105.86</v>
      </c>
      <c r="I269" s="68" t="n">
        <v>50.1</v>
      </c>
      <c r="J269" s="68" t="n">
        <v>2.21</v>
      </c>
      <c r="K269" s="68"/>
    </row>
    <row r="270" customFormat="false" ht="14.25" hidden="false" customHeight="true" outlineLevel="0" collapsed="false">
      <c r="A270" s="68" t="s">
        <v>39</v>
      </c>
      <c r="B270" s="68" t="s">
        <v>40</v>
      </c>
      <c r="C270" s="68" t="n">
        <v>2022</v>
      </c>
      <c r="D270" s="68" t="s">
        <v>798</v>
      </c>
      <c r="E270" s="68" t="s">
        <v>807</v>
      </c>
      <c r="F270" s="68" t="n">
        <v>10603</v>
      </c>
      <c r="G270" s="68" t="n">
        <v>25989</v>
      </c>
      <c r="H270" s="68" t="n">
        <v>114.19</v>
      </c>
      <c r="I270" s="68" t="n">
        <v>50.2</v>
      </c>
      <c r="J270" s="68" t="n">
        <v>2.2</v>
      </c>
      <c r="K270" s="68"/>
    </row>
    <row r="271" customFormat="false" ht="14.25" hidden="false" customHeight="true" outlineLevel="0" collapsed="false">
      <c r="A271" s="68" t="s">
        <v>46</v>
      </c>
      <c r="B271" s="68" t="s">
        <v>47</v>
      </c>
      <c r="C271" s="68" t="n">
        <v>2020</v>
      </c>
      <c r="D271" s="68" t="s">
        <v>798</v>
      </c>
      <c r="E271" s="68" t="s">
        <v>816</v>
      </c>
      <c r="F271" s="68" t="n">
        <v>262</v>
      </c>
      <c r="G271" s="68" t="n">
        <v>3117</v>
      </c>
      <c r="H271" s="68" t="n">
        <v>70.11</v>
      </c>
      <c r="I271" s="68" t="n">
        <v>32.7</v>
      </c>
      <c r="J271" s="68" t="n">
        <v>2.36</v>
      </c>
      <c r="K271" s="68"/>
    </row>
    <row r="272" customFormat="false" ht="14.25" hidden="false" customHeight="true" outlineLevel="0" collapsed="false">
      <c r="A272" s="68" t="s">
        <v>31</v>
      </c>
      <c r="B272" s="68" t="s">
        <v>32</v>
      </c>
      <c r="C272" s="68" t="n">
        <v>2021</v>
      </c>
      <c r="D272" s="68" t="s">
        <v>797</v>
      </c>
      <c r="E272" s="68" t="s">
        <v>804</v>
      </c>
      <c r="F272" s="68" t="n">
        <v>1078</v>
      </c>
      <c r="G272" s="68" t="n">
        <v>9718</v>
      </c>
      <c r="H272" s="68" t="n">
        <v>86.96</v>
      </c>
      <c r="I272" s="68" t="n">
        <v>36.1</v>
      </c>
      <c r="J272" s="68" t="n">
        <v>2.39</v>
      </c>
      <c r="K272" s="68"/>
    </row>
    <row r="273" customFormat="false" ht="14.25" hidden="false" customHeight="true" outlineLevel="0" collapsed="false">
      <c r="A273" s="68" t="s">
        <v>64</v>
      </c>
      <c r="B273" s="68" t="s">
        <v>65</v>
      </c>
      <c r="C273" s="68" t="n">
        <v>2019</v>
      </c>
      <c r="D273" s="68" t="s">
        <v>801</v>
      </c>
      <c r="E273" s="68" t="s">
        <v>823</v>
      </c>
      <c r="F273" s="68" t="n">
        <v>2745</v>
      </c>
      <c r="G273" s="68" t="n">
        <v>7067</v>
      </c>
      <c r="H273" s="68" t="n">
        <v>134.13</v>
      </c>
      <c r="I273" s="68" t="n">
        <v>50.5</v>
      </c>
      <c r="J273" s="68" t="n">
        <v>4.16</v>
      </c>
      <c r="K273" s="68"/>
    </row>
    <row r="274" customFormat="false" ht="14.25" hidden="false" customHeight="true" outlineLevel="0" collapsed="false">
      <c r="A274" s="68" t="s">
        <v>50</v>
      </c>
      <c r="B274" s="68" t="s">
        <v>51</v>
      </c>
      <c r="C274" s="68" t="n">
        <v>2024</v>
      </c>
      <c r="D274" s="68" t="s">
        <v>797</v>
      </c>
      <c r="E274" s="68" t="s">
        <v>821</v>
      </c>
      <c r="F274" s="68" t="n">
        <v>12366</v>
      </c>
      <c r="G274" s="68" t="n">
        <v>23693</v>
      </c>
      <c r="H274" s="68" t="n">
        <v>145.61</v>
      </c>
      <c r="I274" s="68" t="n">
        <v>75</v>
      </c>
      <c r="J274" s="68" t="n">
        <v>2.63</v>
      </c>
      <c r="K274" s="68"/>
    </row>
    <row r="275" customFormat="false" ht="14.25" hidden="false" customHeight="true" outlineLevel="0" collapsed="false">
      <c r="A275" s="68" t="s">
        <v>42</v>
      </c>
      <c r="B275" s="68" t="s">
        <v>43</v>
      </c>
      <c r="C275" s="68" t="n">
        <v>2025</v>
      </c>
      <c r="D275" s="68" t="s">
        <v>798</v>
      </c>
      <c r="E275" s="68" t="s">
        <v>304</v>
      </c>
      <c r="F275" s="68" t="n">
        <v>28073</v>
      </c>
      <c r="G275" s="68" t="n">
        <v>55243</v>
      </c>
      <c r="H275" s="68" t="n">
        <v>176.81</v>
      </c>
      <c r="I275" s="68" t="n">
        <v>52.6</v>
      </c>
      <c r="J275" s="68" t="n">
        <v>2.28</v>
      </c>
      <c r="K275" s="68"/>
    </row>
    <row r="276" customFormat="false" ht="14.25" hidden="false" customHeight="true" outlineLevel="0" collapsed="false">
      <c r="A276" s="68" t="s">
        <v>42</v>
      </c>
      <c r="B276" s="68" t="s">
        <v>43</v>
      </c>
      <c r="C276" s="68" t="n">
        <v>2020</v>
      </c>
      <c r="D276" s="68" t="s">
        <v>805</v>
      </c>
      <c r="E276" s="68" t="s">
        <v>824</v>
      </c>
      <c r="F276" s="68" t="n">
        <v>1302</v>
      </c>
      <c r="G276" s="68" t="n">
        <v>19475</v>
      </c>
      <c r="H276" s="68" t="n">
        <v>111.8</v>
      </c>
      <c r="I276" s="68" t="n">
        <v>31.2</v>
      </c>
      <c r="J276" s="68" t="n">
        <v>2.31</v>
      </c>
      <c r="K276" s="68"/>
    </row>
    <row r="277" customFormat="false" ht="14.25" hidden="false" customHeight="true" outlineLevel="0" collapsed="false">
      <c r="A277" s="68" t="s">
        <v>55</v>
      </c>
      <c r="B277" s="68" t="s">
        <v>56</v>
      </c>
      <c r="C277" s="68" t="n">
        <v>2021</v>
      </c>
      <c r="D277" s="68" t="s">
        <v>797</v>
      </c>
      <c r="E277" s="68" t="s">
        <v>804</v>
      </c>
      <c r="F277" s="68" t="n">
        <v>1629</v>
      </c>
      <c r="G277" s="68" t="n">
        <v>14103</v>
      </c>
      <c r="H277" s="68" t="n">
        <v>79.91</v>
      </c>
      <c r="I277" s="68" t="n">
        <v>35.4</v>
      </c>
      <c r="J277" s="68" t="n">
        <v>2.65</v>
      </c>
      <c r="K277" s="68"/>
    </row>
    <row r="278" customFormat="false" ht="14.25" hidden="false" customHeight="true" outlineLevel="0" collapsed="false">
      <c r="A278" s="68" t="s">
        <v>22</v>
      </c>
      <c r="B278" s="68" t="s">
        <v>23</v>
      </c>
      <c r="C278" s="68" t="n">
        <v>2022</v>
      </c>
      <c r="D278" s="68" t="s">
        <v>805</v>
      </c>
      <c r="E278" s="68" t="s">
        <v>819</v>
      </c>
      <c r="F278" s="68" t="n">
        <v>3782</v>
      </c>
      <c r="G278" s="68" t="n">
        <v>9071</v>
      </c>
      <c r="H278" s="68" t="n">
        <v>93.72</v>
      </c>
      <c r="I278" s="68" t="n">
        <v>46.8</v>
      </c>
      <c r="J278" s="68" t="n">
        <v>2.31</v>
      </c>
      <c r="K278" s="68"/>
    </row>
    <row r="279" customFormat="false" ht="14.25" hidden="false" customHeight="true" outlineLevel="0" collapsed="false">
      <c r="A279" s="68" t="s">
        <v>42</v>
      </c>
      <c r="B279" s="68" t="s">
        <v>43</v>
      </c>
      <c r="C279" s="68" t="n">
        <v>2020</v>
      </c>
      <c r="D279" s="68" t="s">
        <v>798</v>
      </c>
      <c r="E279" s="68" t="s">
        <v>816</v>
      </c>
      <c r="F279" s="68" t="n">
        <v>1207</v>
      </c>
      <c r="G279" s="68" t="n">
        <v>19844</v>
      </c>
      <c r="H279" s="68" t="n">
        <v>100.74</v>
      </c>
      <c r="I279" s="68" t="n">
        <v>31.8</v>
      </c>
      <c r="J279" s="68" t="n">
        <v>2.26</v>
      </c>
      <c r="K279" s="68"/>
    </row>
    <row r="280" customFormat="false" ht="14.25" hidden="false" customHeight="true" outlineLevel="0" collapsed="false">
      <c r="A280" s="68" t="s">
        <v>50</v>
      </c>
      <c r="B280" s="68" t="s">
        <v>51</v>
      </c>
      <c r="C280" s="68" t="n">
        <v>2022</v>
      </c>
      <c r="D280" s="68" t="s">
        <v>805</v>
      </c>
      <c r="E280" s="68" t="s">
        <v>819</v>
      </c>
      <c r="F280" s="68" t="n">
        <v>4669</v>
      </c>
      <c r="G280" s="68" t="n">
        <v>12250</v>
      </c>
      <c r="H280" s="68" t="n">
        <v>125.05</v>
      </c>
      <c r="I280" s="68" t="n">
        <v>47.9</v>
      </c>
      <c r="J280" s="68" t="n">
        <v>2.34</v>
      </c>
      <c r="K280" s="68"/>
    </row>
    <row r="281" customFormat="false" ht="14.25" hidden="false" customHeight="true" outlineLevel="0" collapsed="false">
      <c r="A281" s="68" t="s">
        <v>35</v>
      </c>
      <c r="B281" s="68" t="s">
        <v>36</v>
      </c>
      <c r="C281" s="68" t="n">
        <v>2019</v>
      </c>
      <c r="D281" s="68" t="s">
        <v>797</v>
      </c>
      <c r="E281" s="68" t="s">
        <v>815</v>
      </c>
      <c r="F281" s="68" t="n">
        <v>7907</v>
      </c>
      <c r="G281" s="68" t="n">
        <v>25572</v>
      </c>
      <c r="H281" s="68" t="n">
        <v>115.89</v>
      </c>
      <c r="I281" s="68" t="n">
        <v>69.3</v>
      </c>
      <c r="J281" s="68" t="n">
        <v>2.46</v>
      </c>
      <c r="K281" s="68"/>
    </row>
    <row r="282" customFormat="false" ht="14.25" hidden="false" customHeight="true" outlineLevel="0" collapsed="false">
      <c r="A282" s="68" t="s">
        <v>35</v>
      </c>
      <c r="B282" s="68" t="s">
        <v>36</v>
      </c>
      <c r="C282" s="68" t="n">
        <v>2019</v>
      </c>
      <c r="D282" s="68" t="s">
        <v>798</v>
      </c>
      <c r="E282" s="68" t="s">
        <v>799</v>
      </c>
      <c r="F282" s="68" t="n">
        <v>5261</v>
      </c>
      <c r="G282" s="68" t="n">
        <v>13070</v>
      </c>
      <c r="H282" s="68" t="n">
        <v>107.82</v>
      </c>
      <c r="I282" s="68" t="n">
        <v>50.5</v>
      </c>
      <c r="J282" s="68" t="n">
        <v>2.14</v>
      </c>
      <c r="K282" s="68"/>
    </row>
    <row r="283" customFormat="false" ht="14.25" hidden="false" customHeight="true" outlineLevel="0" collapsed="false">
      <c r="A283" s="68" t="s">
        <v>39</v>
      </c>
      <c r="B283" s="68" t="s">
        <v>40</v>
      </c>
      <c r="C283" s="68" t="n">
        <v>2019</v>
      </c>
      <c r="D283" s="68" t="s">
        <v>801</v>
      </c>
      <c r="E283" s="68" t="s">
        <v>823</v>
      </c>
      <c r="F283" s="68" t="n">
        <v>15219</v>
      </c>
      <c r="G283" s="68" t="n">
        <v>44438</v>
      </c>
      <c r="H283" s="68" t="n">
        <v>110.59</v>
      </c>
      <c r="I283" s="68" t="n">
        <v>65.1</v>
      </c>
      <c r="J283" s="68" t="n">
        <v>2.44</v>
      </c>
      <c r="K283" s="68"/>
    </row>
    <row r="284" customFormat="false" ht="14.25" hidden="false" customHeight="true" outlineLevel="0" collapsed="false">
      <c r="A284" s="68" t="s">
        <v>39</v>
      </c>
      <c r="B284" s="68" t="s">
        <v>40</v>
      </c>
      <c r="C284" s="68" t="n">
        <v>2020</v>
      </c>
      <c r="D284" s="68" t="s">
        <v>797</v>
      </c>
      <c r="E284" s="68" t="s">
        <v>813</v>
      </c>
      <c r="F284" s="68" t="n">
        <v>11644</v>
      </c>
      <c r="G284" s="68" t="n">
        <v>37395</v>
      </c>
      <c r="H284" s="68" t="n">
        <v>106.59</v>
      </c>
      <c r="I284" s="68" t="n">
        <v>54.7</v>
      </c>
      <c r="J284" s="68" t="n">
        <v>2.53</v>
      </c>
      <c r="K284" s="68"/>
    </row>
    <row r="285" customFormat="false" ht="14.25" hidden="false" customHeight="true" outlineLevel="0" collapsed="false">
      <c r="A285" s="68" t="s">
        <v>46</v>
      </c>
      <c r="B285" s="68" t="s">
        <v>47</v>
      </c>
      <c r="C285" s="68" t="n">
        <v>2023</v>
      </c>
      <c r="D285" s="68" t="s">
        <v>798</v>
      </c>
      <c r="E285" s="68" t="s">
        <v>800</v>
      </c>
      <c r="F285" s="68" t="n">
        <v>4312</v>
      </c>
      <c r="G285" s="68" t="n">
        <v>9167</v>
      </c>
      <c r="H285" s="68" t="n">
        <v>105.18</v>
      </c>
      <c r="I285" s="68" t="n">
        <v>47.1</v>
      </c>
      <c r="J285" s="68" t="n">
        <v>2.16</v>
      </c>
      <c r="K285" s="68"/>
    </row>
    <row r="286" customFormat="false" ht="14.25" hidden="false" customHeight="true" outlineLevel="0" collapsed="false">
      <c r="A286" s="68" t="s">
        <v>31</v>
      </c>
      <c r="B286" s="68" t="s">
        <v>32</v>
      </c>
      <c r="C286" s="68" t="n">
        <v>2024</v>
      </c>
      <c r="D286" s="68" t="s">
        <v>797</v>
      </c>
      <c r="E286" s="68" t="s">
        <v>821</v>
      </c>
      <c r="F286" s="68" t="n">
        <v>10729</v>
      </c>
      <c r="G286" s="68" t="n">
        <v>24488</v>
      </c>
      <c r="H286" s="68" t="n">
        <v>121.41</v>
      </c>
      <c r="I286" s="68" t="n">
        <v>61.1</v>
      </c>
      <c r="J286" s="68" t="n">
        <v>2.69</v>
      </c>
      <c r="K286" s="68"/>
    </row>
    <row r="287" customFormat="false" ht="14.25" hidden="false" customHeight="true" outlineLevel="0" collapsed="false">
      <c r="A287" s="68" t="s">
        <v>64</v>
      </c>
      <c r="B287" s="68" t="s">
        <v>65</v>
      </c>
      <c r="C287" s="68" t="n">
        <v>2019</v>
      </c>
      <c r="D287" s="68" t="s">
        <v>805</v>
      </c>
      <c r="E287" s="68" t="s">
        <v>817</v>
      </c>
      <c r="F287" s="68" t="n">
        <v>1555</v>
      </c>
      <c r="G287" s="68" t="n">
        <v>3226</v>
      </c>
      <c r="H287" s="68" t="n">
        <v>133.69</v>
      </c>
      <c r="I287" s="68" t="n">
        <v>43.7</v>
      </c>
      <c r="J287" s="68" t="n">
        <v>3.57</v>
      </c>
      <c r="K287" s="68"/>
    </row>
    <row r="288" customFormat="false" ht="14.25" hidden="false" customHeight="true" outlineLevel="0" collapsed="false">
      <c r="A288" s="68" t="s">
        <v>35</v>
      </c>
      <c r="B288" s="68" t="s">
        <v>36</v>
      </c>
      <c r="C288" s="68" t="n">
        <v>2019</v>
      </c>
      <c r="D288" s="68" t="s">
        <v>805</v>
      </c>
      <c r="E288" s="68" t="s">
        <v>817</v>
      </c>
      <c r="F288" s="68" t="n">
        <v>6800</v>
      </c>
      <c r="G288" s="68" t="n">
        <v>14114</v>
      </c>
      <c r="H288" s="68" t="n">
        <v>109.12</v>
      </c>
      <c r="I288" s="68" t="n">
        <v>54</v>
      </c>
      <c r="J288" s="68" t="n">
        <v>2.22</v>
      </c>
      <c r="K288" s="68"/>
    </row>
    <row r="289" customFormat="false" ht="14.25" hidden="false" customHeight="true" outlineLevel="0" collapsed="false">
      <c r="A289" s="68" t="s">
        <v>55</v>
      </c>
      <c r="B289" s="68" t="s">
        <v>56</v>
      </c>
      <c r="C289" s="68" t="n">
        <v>2025</v>
      </c>
      <c r="D289" s="68" t="s">
        <v>798</v>
      </c>
      <c r="E289" s="68" t="s">
        <v>304</v>
      </c>
      <c r="F289" s="68" t="n">
        <v>8269</v>
      </c>
      <c r="G289" s="68" t="n">
        <v>19471</v>
      </c>
      <c r="H289" s="68" t="n">
        <v>116.84</v>
      </c>
      <c r="I289" s="68" t="n">
        <v>45.9</v>
      </c>
      <c r="J289" s="68" t="n">
        <v>2.33</v>
      </c>
      <c r="K289" s="68"/>
    </row>
    <row r="290" customFormat="false" ht="14.25" hidden="false" customHeight="true" outlineLevel="0" collapsed="false">
      <c r="A290" s="68" t="s">
        <v>22</v>
      </c>
      <c r="B290" s="68" t="s">
        <v>23</v>
      </c>
      <c r="C290" s="68" t="n">
        <v>2023</v>
      </c>
      <c r="D290" s="68" t="s">
        <v>798</v>
      </c>
      <c r="E290" s="68" t="s">
        <v>800</v>
      </c>
      <c r="F290" s="68" t="n">
        <v>4118</v>
      </c>
      <c r="G290" s="68" t="n">
        <v>8975</v>
      </c>
      <c r="H290" s="68" t="n">
        <v>105.91</v>
      </c>
      <c r="I290" s="68" t="n">
        <v>46.6</v>
      </c>
      <c r="J290" s="68" t="n">
        <v>2.32</v>
      </c>
      <c r="K290" s="68"/>
    </row>
    <row r="291" customFormat="false" ht="14.25" hidden="false" customHeight="true" outlineLevel="0" collapsed="false">
      <c r="A291" s="68" t="s">
        <v>67</v>
      </c>
      <c r="B291" s="68" t="s">
        <v>68</v>
      </c>
      <c r="C291" s="68" t="n">
        <v>2022</v>
      </c>
      <c r="D291" s="68" t="s">
        <v>797</v>
      </c>
      <c r="E291" s="68" t="s">
        <v>822</v>
      </c>
      <c r="F291" s="68" t="n">
        <v>10106</v>
      </c>
      <c r="G291" s="68" t="n">
        <v>22981</v>
      </c>
      <c r="H291" s="68" t="n">
        <v>177.46</v>
      </c>
      <c r="I291" s="68" t="n">
        <v>67.8</v>
      </c>
      <c r="J291" s="68" t="n">
        <v>4.69</v>
      </c>
      <c r="K291" s="68"/>
    </row>
    <row r="292" customFormat="false" ht="14.25" hidden="false" customHeight="true" outlineLevel="0" collapsed="false">
      <c r="A292" s="68" t="s">
        <v>16</v>
      </c>
      <c r="B292" s="68" t="s">
        <v>17</v>
      </c>
      <c r="C292" s="68" t="n">
        <v>2022</v>
      </c>
      <c r="D292" s="68" t="s">
        <v>805</v>
      </c>
      <c r="E292" s="68" t="s">
        <v>819</v>
      </c>
      <c r="F292" s="68" t="n">
        <v>3290</v>
      </c>
      <c r="G292" s="68" t="n">
        <v>10767</v>
      </c>
      <c r="H292" s="68" t="n">
        <v>94.35</v>
      </c>
      <c r="I292" s="68" t="n">
        <v>48.9</v>
      </c>
      <c r="J292" s="68" t="n">
        <v>2.33</v>
      </c>
      <c r="K292" s="68"/>
    </row>
    <row r="293" customFormat="false" ht="14.25" hidden="false" customHeight="true" outlineLevel="0" collapsed="false">
      <c r="A293" s="68" t="s">
        <v>31</v>
      </c>
      <c r="B293" s="68" t="s">
        <v>32</v>
      </c>
      <c r="C293" s="68" t="n">
        <v>2021</v>
      </c>
      <c r="D293" s="68" t="s">
        <v>801</v>
      </c>
      <c r="E293" s="68" t="s">
        <v>812</v>
      </c>
      <c r="F293" s="68" t="n">
        <v>2820</v>
      </c>
      <c r="G293" s="68" t="n">
        <v>9189</v>
      </c>
      <c r="H293" s="68" t="n">
        <v>88.74</v>
      </c>
      <c r="I293" s="68" t="n">
        <v>35.4</v>
      </c>
      <c r="J293" s="68" t="n">
        <v>2.62</v>
      </c>
      <c r="K293" s="68"/>
    </row>
    <row r="294" customFormat="false" ht="14.25" hidden="false" customHeight="true" outlineLevel="0" collapsed="false">
      <c r="A294" s="68" t="s">
        <v>64</v>
      </c>
      <c r="B294" s="68" t="s">
        <v>65</v>
      </c>
      <c r="C294" s="68" t="n">
        <v>2021</v>
      </c>
      <c r="D294" s="68" t="s">
        <v>798</v>
      </c>
      <c r="E294" s="68" t="s">
        <v>818</v>
      </c>
      <c r="F294" s="68" t="n">
        <v>278</v>
      </c>
      <c r="G294" s="68" t="n">
        <v>1155</v>
      </c>
      <c r="H294" s="68" t="n">
        <v>124.23</v>
      </c>
      <c r="I294" s="68" t="n">
        <v>32.9</v>
      </c>
      <c r="J294" s="68" t="n">
        <v>3.39</v>
      </c>
      <c r="K294" s="68"/>
    </row>
    <row r="295" customFormat="false" ht="14.25" hidden="false" customHeight="true" outlineLevel="0" collapsed="false">
      <c r="A295" s="68" t="s">
        <v>46</v>
      </c>
      <c r="B295" s="68" t="s">
        <v>47</v>
      </c>
      <c r="C295" s="68" t="n">
        <v>2023</v>
      </c>
      <c r="D295" s="68" t="s">
        <v>797</v>
      </c>
      <c r="E295" s="68" t="s">
        <v>820</v>
      </c>
      <c r="F295" s="68" t="n">
        <v>7570</v>
      </c>
      <c r="G295" s="68" t="n">
        <v>17483</v>
      </c>
      <c r="H295" s="68" t="n">
        <v>88.17</v>
      </c>
      <c r="I295" s="68" t="n">
        <v>66</v>
      </c>
      <c r="J295" s="68" t="n">
        <v>2.7</v>
      </c>
      <c r="K295" s="68"/>
    </row>
    <row r="296" customFormat="false" ht="14.25" hidden="false" customHeight="true" outlineLevel="0" collapsed="false">
      <c r="A296" s="68" t="s">
        <v>31</v>
      </c>
      <c r="B296" s="68" t="s">
        <v>32</v>
      </c>
      <c r="C296" s="68" t="n">
        <v>2025</v>
      </c>
      <c r="D296" s="68" t="s">
        <v>798</v>
      </c>
      <c r="E296" s="68" t="s">
        <v>304</v>
      </c>
      <c r="F296" s="68" t="n">
        <v>6723</v>
      </c>
      <c r="G296" s="68" t="n">
        <v>12606</v>
      </c>
      <c r="H296" s="68" t="n">
        <v>120.5</v>
      </c>
      <c r="I296" s="68" t="n">
        <v>43.9</v>
      </c>
      <c r="J296" s="68" t="n">
        <v>2.28</v>
      </c>
      <c r="K296" s="68"/>
    </row>
    <row r="297" customFormat="false" ht="14.25" hidden="false" customHeight="true" outlineLevel="0" collapsed="false">
      <c r="A297" s="68" t="s">
        <v>64</v>
      </c>
      <c r="B297" s="68" t="s">
        <v>65</v>
      </c>
      <c r="C297" s="68" t="n">
        <v>2020</v>
      </c>
      <c r="D297" s="68" t="s">
        <v>805</v>
      </c>
      <c r="E297" s="68" t="s">
        <v>824</v>
      </c>
      <c r="F297" s="68" t="n">
        <v>89</v>
      </c>
      <c r="G297" s="68" t="n">
        <v>1452</v>
      </c>
      <c r="H297" s="68" t="n">
        <v>101.88</v>
      </c>
      <c r="I297" s="68" t="n">
        <v>30.1</v>
      </c>
      <c r="J297" s="68" t="n">
        <v>3.14</v>
      </c>
      <c r="K297" s="68"/>
    </row>
    <row r="298" customFormat="false" ht="14.25" hidden="false" customHeight="true" outlineLevel="0" collapsed="false">
      <c r="A298" s="68" t="s">
        <v>46</v>
      </c>
      <c r="B298" s="68" t="s">
        <v>47</v>
      </c>
      <c r="C298" s="68" t="n">
        <v>2022</v>
      </c>
      <c r="D298" s="68" t="s">
        <v>797</v>
      </c>
      <c r="E298" s="68" t="s">
        <v>822</v>
      </c>
      <c r="F298" s="68" t="n">
        <v>4607</v>
      </c>
      <c r="G298" s="68" t="n">
        <v>13371</v>
      </c>
      <c r="H298" s="68" t="n">
        <v>79.9</v>
      </c>
      <c r="I298" s="68" t="n">
        <v>57.8</v>
      </c>
      <c r="J298" s="68" t="n">
        <v>2.69</v>
      </c>
      <c r="K298" s="68"/>
    </row>
    <row r="299" customFormat="false" ht="14.25" hidden="false" customHeight="true" outlineLevel="0" collapsed="false">
      <c r="A299" s="68" t="s">
        <v>31</v>
      </c>
      <c r="B299" s="68" t="s">
        <v>32</v>
      </c>
      <c r="C299" s="68" t="n">
        <v>2019</v>
      </c>
      <c r="D299" s="68" t="s">
        <v>801</v>
      </c>
      <c r="E299" s="68" t="s">
        <v>823</v>
      </c>
      <c r="F299" s="68" t="n">
        <v>6942</v>
      </c>
      <c r="G299" s="68" t="n">
        <v>17580</v>
      </c>
      <c r="H299" s="68" t="n">
        <v>95.25</v>
      </c>
      <c r="I299" s="68" t="n">
        <v>65.9</v>
      </c>
      <c r="J299" s="68" t="n">
        <v>2.32</v>
      </c>
      <c r="K299" s="68"/>
    </row>
    <row r="300" customFormat="false" ht="14.25" hidden="false" customHeight="true" outlineLevel="0" collapsed="false">
      <c r="A300" s="68" t="s">
        <v>61</v>
      </c>
      <c r="B300" s="68" t="s">
        <v>62</v>
      </c>
      <c r="C300" s="68" t="n">
        <v>2019</v>
      </c>
      <c r="D300" s="68" t="s">
        <v>797</v>
      </c>
      <c r="E300" s="68" t="s">
        <v>815</v>
      </c>
      <c r="F300" s="68" t="n">
        <v>18016</v>
      </c>
      <c r="G300" s="68" t="n">
        <v>38998</v>
      </c>
      <c r="H300" s="68" t="n">
        <v>89.37</v>
      </c>
      <c r="I300" s="68" t="n">
        <v>64.4</v>
      </c>
      <c r="J300" s="68" t="n">
        <v>2.68</v>
      </c>
      <c r="K300" s="68"/>
    </row>
    <row r="301" customFormat="false" ht="14.25" hidden="false" customHeight="true" outlineLevel="0" collapsed="false">
      <c r="A301" s="68" t="s">
        <v>35</v>
      </c>
      <c r="B301" s="68" t="s">
        <v>36</v>
      </c>
      <c r="C301" s="68" t="n">
        <v>2020</v>
      </c>
      <c r="D301" s="68" t="s">
        <v>798</v>
      </c>
      <c r="E301" s="68" t="s">
        <v>816</v>
      </c>
      <c r="F301" s="68" t="n">
        <v>317</v>
      </c>
      <c r="G301" s="68" t="n">
        <v>5905</v>
      </c>
      <c r="H301" s="68" t="n">
        <v>83.45</v>
      </c>
      <c r="I301" s="68" t="n">
        <v>34.4</v>
      </c>
      <c r="J301" s="68" t="n">
        <v>2.32</v>
      </c>
      <c r="K301" s="68"/>
    </row>
    <row r="302" customFormat="false" ht="14.25" hidden="false" customHeight="true" outlineLevel="0" collapsed="false">
      <c r="A302" s="68" t="s">
        <v>39</v>
      </c>
      <c r="B302" s="68" t="s">
        <v>40</v>
      </c>
      <c r="C302" s="68" t="n">
        <v>2021</v>
      </c>
      <c r="D302" s="68" t="s">
        <v>798</v>
      </c>
      <c r="E302" s="68" t="s">
        <v>818</v>
      </c>
      <c r="F302" s="68" t="n">
        <v>3434</v>
      </c>
      <c r="G302" s="68" t="n">
        <v>16356</v>
      </c>
      <c r="H302" s="68" t="n">
        <v>108.01</v>
      </c>
      <c r="I302" s="68" t="n">
        <v>36.1</v>
      </c>
      <c r="J302" s="68" t="n">
        <v>2.28</v>
      </c>
      <c r="K302" s="68"/>
    </row>
    <row r="303" customFormat="false" ht="14.25" hidden="false" customHeight="true" outlineLevel="0" collapsed="false">
      <c r="A303" s="68" t="s">
        <v>67</v>
      </c>
      <c r="B303" s="68" t="s">
        <v>68</v>
      </c>
      <c r="C303" s="68" t="n">
        <v>2024</v>
      </c>
      <c r="D303" s="68" t="s">
        <v>801</v>
      </c>
      <c r="E303" s="68" t="s">
        <v>301</v>
      </c>
      <c r="F303" s="68" t="n">
        <v>9054</v>
      </c>
      <c r="G303" s="68" t="n">
        <v>20771</v>
      </c>
      <c r="H303" s="68" t="n">
        <v>189.14</v>
      </c>
      <c r="I303" s="68" t="n">
        <v>61.7</v>
      </c>
      <c r="J303" s="68" t="n">
        <v>4.47</v>
      </c>
      <c r="K303" s="68"/>
    </row>
    <row r="304" customFormat="false" ht="14.25" hidden="false" customHeight="true" outlineLevel="0" collapsed="false">
      <c r="A304" s="68" t="s">
        <v>27</v>
      </c>
      <c r="B304" s="68" t="s">
        <v>28</v>
      </c>
      <c r="C304" s="68" t="n">
        <v>2019</v>
      </c>
      <c r="D304" s="68" t="s">
        <v>805</v>
      </c>
      <c r="E304" s="68" t="s">
        <v>817</v>
      </c>
      <c r="F304" s="68" t="n">
        <v>6826</v>
      </c>
      <c r="G304" s="68" t="n">
        <v>18585</v>
      </c>
      <c r="H304" s="68" t="n">
        <v>103.05</v>
      </c>
      <c r="I304" s="68" t="n">
        <v>52.9</v>
      </c>
      <c r="J304" s="68" t="n">
        <v>2.38</v>
      </c>
      <c r="K304" s="68"/>
    </row>
    <row r="305" customFormat="false" ht="14.25" hidden="false" customHeight="true" outlineLevel="0" collapsed="false">
      <c r="A305" s="68" t="s">
        <v>53</v>
      </c>
      <c r="B305" s="68" t="s">
        <v>54</v>
      </c>
      <c r="C305" s="68" t="n">
        <v>2022</v>
      </c>
      <c r="D305" s="68" t="s">
        <v>805</v>
      </c>
      <c r="E305" s="68" t="s">
        <v>819</v>
      </c>
      <c r="F305" s="68" t="n">
        <v>6167</v>
      </c>
      <c r="G305" s="68" t="n">
        <v>14293</v>
      </c>
      <c r="H305" s="68" t="n">
        <v>106.65</v>
      </c>
      <c r="I305" s="68" t="n">
        <v>53.1</v>
      </c>
      <c r="J305" s="68" t="n">
        <v>2.46</v>
      </c>
      <c r="K305" s="68"/>
    </row>
    <row r="306" customFormat="false" ht="14.25" hidden="false" customHeight="true" outlineLevel="0" collapsed="false">
      <c r="A306" s="68" t="s">
        <v>53</v>
      </c>
      <c r="B306" s="68" t="s">
        <v>54</v>
      </c>
      <c r="C306" s="68" t="n">
        <v>2019</v>
      </c>
      <c r="D306" s="68" t="s">
        <v>797</v>
      </c>
      <c r="E306" s="68" t="s">
        <v>815</v>
      </c>
      <c r="F306" s="68" t="n">
        <v>9999</v>
      </c>
      <c r="G306" s="68" t="n">
        <v>24097</v>
      </c>
      <c r="H306" s="68" t="n">
        <v>112.11</v>
      </c>
      <c r="I306" s="68" t="n">
        <v>70.6</v>
      </c>
      <c r="J306" s="68" t="n">
        <v>2.41</v>
      </c>
      <c r="K306" s="68"/>
    </row>
    <row r="307" customFormat="false" ht="14.25" hidden="false" customHeight="true" outlineLevel="0" collapsed="false">
      <c r="A307" s="68" t="s">
        <v>35</v>
      </c>
      <c r="B307" s="68" t="s">
        <v>36</v>
      </c>
      <c r="C307" s="68" t="n">
        <v>2024</v>
      </c>
      <c r="D307" s="68" t="s">
        <v>798</v>
      </c>
      <c r="E307" s="68" t="s">
        <v>808</v>
      </c>
      <c r="F307" s="68" t="n">
        <v>7437</v>
      </c>
      <c r="G307" s="68" t="n">
        <v>12787</v>
      </c>
      <c r="H307" s="68"/>
      <c r="I307" s="68" t="n">
        <v>50.1</v>
      </c>
      <c r="J307" s="68" t="n">
        <v>2.32</v>
      </c>
      <c r="K307" s="68"/>
    </row>
    <row r="308" customFormat="false" ht="14.25" hidden="false" customHeight="true" outlineLevel="0" collapsed="false">
      <c r="A308" s="68" t="s">
        <v>42</v>
      </c>
      <c r="B308" s="68" t="s">
        <v>43</v>
      </c>
      <c r="C308" s="68" t="n">
        <v>2019</v>
      </c>
      <c r="D308" s="68" t="s">
        <v>805</v>
      </c>
      <c r="E308" s="68" t="s">
        <v>817</v>
      </c>
      <c r="F308" s="68" t="n">
        <v>23239</v>
      </c>
      <c r="G308" s="68" t="n">
        <v>49578</v>
      </c>
      <c r="H308" s="68" t="n">
        <v>129.96</v>
      </c>
      <c r="I308" s="68" t="n">
        <v>64.8</v>
      </c>
      <c r="J308" s="68" t="n">
        <v>2.52</v>
      </c>
      <c r="K308" s="68"/>
    </row>
    <row r="309" customFormat="false" ht="14.25" hidden="false" customHeight="true" outlineLevel="0" collapsed="false">
      <c r="A309" s="68" t="s">
        <v>22</v>
      </c>
      <c r="B309" s="68" t="s">
        <v>23</v>
      </c>
      <c r="C309" s="68" t="n">
        <v>2020</v>
      </c>
      <c r="D309" s="68" t="s">
        <v>797</v>
      </c>
      <c r="E309" s="68" t="s">
        <v>813</v>
      </c>
      <c r="F309" s="68" t="n">
        <v>3883</v>
      </c>
      <c r="G309" s="68" t="n">
        <v>10882</v>
      </c>
      <c r="H309" s="68" t="n">
        <v>87.53</v>
      </c>
      <c r="I309" s="68" t="n">
        <v>50.2</v>
      </c>
      <c r="J309" s="68" t="n">
        <v>2.36</v>
      </c>
      <c r="K309" s="68"/>
    </row>
    <row r="310" customFormat="false" ht="14.25" hidden="false" customHeight="true" outlineLevel="0" collapsed="false">
      <c r="A310" s="68" t="s">
        <v>16</v>
      </c>
      <c r="B310" s="68" t="s">
        <v>17</v>
      </c>
      <c r="C310" s="68" t="n">
        <v>2022</v>
      </c>
      <c r="D310" s="68" t="s">
        <v>801</v>
      </c>
      <c r="E310" s="68" t="s">
        <v>803</v>
      </c>
      <c r="F310" s="68" t="n">
        <v>5632</v>
      </c>
      <c r="G310" s="68" t="n">
        <v>14158</v>
      </c>
      <c r="H310" s="68" t="n">
        <v>95.74</v>
      </c>
      <c r="I310" s="68" t="n">
        <v>49.4</v>
      </c>
      <c r="J310" s="68" t="n">
        <v>2.55</v>
      </c>
      <c r="K310" s="68"/>
    </row>
    <row r="311" customFormat="false" ht="14.25" hidden="false" customHeight="true" outlineLevel="0" collapsed="false">
      <c r="A311" s="68" t="s">
        <v>53</v>
      </c>
      <c r="B311" s="68" t="s">
        <v>54</v>
      </c>
      <c r="C311" s="68" t="n">
        <v>2022</v>
      </c>
      <c r="D311" s="68" t="s">
        <v>801</v>
      </c>
      <c r="E311" s="68" t="s">
        <v>803</v>
      </c>
      <c r="F311" s="68" t="n">
        <v>9162</v>
      </c>
      <c r="G311" s="68" t="n">
        <v>21498</v>
      </c>
      <c r="H311" s="68" t="n">
        <v>124.6</v>
      </c>
      <c r="I311" s="68" t="n">
        <v>63.9</v>
      </c>
      <c r="J311" s="68" t="n">
        <v>2.52</v>
      </c>
      <c r="K311" s="68"/>
    </row>
    <row r="312" customFormat="false" ht="14.25" hidden="false" customHeight="true" outlineLevel="0" collapsed="false">
      <c r="A312" s="68" t="s">
        <v>55</v>
      </c>
      <c r="B312" s="68" t="s">
        <v>56</v>
      </c>
      <c r="C312" s="68" t="n">
        <v>2022</v>
      </c>
      <c r="D312" s="68" t="s">
        <v>797</v>
      </c>
      <c r="E312" s="68" t="s">
        <v>822</v>
      </c>
      <c r="F312" s="68" t="n">
        <v>8370</v>
      </c>
      <c r="G312" s="68" t="n">
        <v>25606</v>
      </c>
      <c r="H312" s="68" t="n">
        <v>77.07</v>
      </c>
      <c r="I312" s="68" t="n">
        <v>50.8</v>
      </c>
      <c r="J312" s="68" t="n">
        <v>2.68</v>
      </c>
      <c r="K312" s="68"/>
    </row>
    <row r="313" customFormat="false" ht="14.25" hidden="false" customHeight="true" outlineLevel="0" collapsed="false">
      <c r="A313" s="68" t="s">
        <v>46</v>
      </c>
      <c r="B313" s="68" t="s">
        <v>47</v>
      </c>
      <c r="C313" s="68" t="n">
        <v>2021</v>
      </c>
      <c r="D313" s="68" t="s">
        <v>798</v>
      </c>
      <c r="E313" s="68" t="s">
        <v>818</v>
      </c>
      <c r="F313" s="68" t="n">
        <v>1411</v>
      </c>
      <c r="G313" s="68" t="n">
        <v>5454</v>
      </c>
      <c r="H313" s="68" t="n">
        <v>64.28</v>
      </c>
      <c r="I313" s="68" t="n">
        <v>31</v>
      </c>
      <c r="J313" s="68" t="n">
        <v>2.27</v>
      </c>
      <c r="K313" s="68"/>
    </row>
    <row r="314" customFormat="false" ht="14.25" hidden="false" customHeight="true" outlineLevel="0" collapsed="false">
      <c r="A314" s="68" t="s">
        <v>57</v>
      </c>
      <c r="B314" s="68" t="s">
        <v>58</v>
      </c>
      <c r="C314" s="68" t="n">
        <v>2019</v>
      </c>
      <c r="D314" s="68" t="s">
        <v>801</v>
      </c>
      <c r="E314" s="68" t="s">
        <v>823</v>
      </c>
      <c r="F314" s="68" t="n">
        <v>6627</v>
      </c>
      <c r="G314" s="68" t="n">
        <v>15794</v>
      </c>
      <c r="H314" s="68" t="n">
        <v>83.1</v>
      </c>
      <c r="I314" s="68" t="n">
        <v>50.5</v>
      </c>
      <c r="J314" s="68" t="n">
        <v>2.4</v>
      </c>
      <c r="K314" s="68"/>
    </row>
    <row r="315" customFormat="false" ht="14.25" hidden="false" customHeight="true" outlineLevel="0" collapsed="false">
      <c r="A315" s="68" t="s">
        <v>31</v>
      </c>
      <c r="B315" s="68" t="s">
        <v>32</v>
      </c>
      <c r="C315" s="68" t="n">
        <v>2024</v>
      </c>
      <c r="D315" s="68" t="s">
        <v>801</v>
      </c>
      <c r="E315" s="68" t="s">
        <v>301</v>
      </c>
      <c r="F315" s="68" t="n">
        <v>8641</v>
      </c>
      <c r="G315" s="68" t="n">
        <v>20969</v>
      </c>
      <c r="H315" s="68" t="n">
        <v>127.96</v>
      </c>
      <c r="I315" s="68" t="n">
        <v>65.8</v>
      </c>
      <c r="J315" s="68" t="n">
        <v>2.43</v>
      </c>
      <c r="K315" s="68"/>
    </row>
    <row r="316" customFormat="false" ht="14.25" hidden="false" customHeight="true" outlineLevel="0" collapsed="false">
      <c r="A316" s="68" t="s">
        <v>27</v>
      </c>
      <c r="B316" s="68" t="s">
        <v>28</v>
      </c>
      <c r="C316" s="68" t="n">
        <v>2023</v>
      </c>
      <c r="D316" s="68" t="s">
        <v>797</v>
      </c>
      <c r="E316" s="68" t="s">
        <v>820</v>
      </c>
      <c r="F316" s="68" t="n">
        <v>12896</v>
      </c>
      <c r="G316" s="68" t="n">
        <v>30243</v>
      </c>
      <c r="H316" s="68" t="n">
        <v>120.82</v>
      </c>
      <c r="I316" s="68" t="n">
        <v>70</v>
      </c>
      <c r="J316" s="68" t="n">
        <v>2.67</v>
      </c>
      <c r="K316" s="68"/>
    </row>
    <row r="317" customFormat="false" ht="14.25" hidden="false" customHeight="true" outlineLevel="0" collapsed="false">
      <c r="A317" s="68" t="s">
        <v>64</v>
      </c>
      <c r="B317" s="68" t="s">
        <v>65</v>
      </c>
      <c r="C317" s="68" t="n">
        <v>2022</v>
      </c>
      <c r="D317" s="68" t="s">
        <v>801</v>
      </c>
      <c r="E317" s="68" t="s">
        <v>803</v>
      </c>
      <c r="F317" s="68" t="n">
        <v>3029</v>
      </c>
      <c r="G317" s="68" t="n">
        <v>7475</v>
      </c>
      <c r="H317" s="68" t="n">
        <v>145.87</v>
      </c>
      <c r="I317" s="68" t="n">
        <v>47.8</v>
      </c>
      <c r="J317" s="68" t="n">
        <v>3.98</v>
      </c>
      <c r="K317" s="68"/>
    </row>
    <row r="318" customFormat="false" ht="14.25" hidden="false" customHeight="true" outlineLevel="0" collapsed="false">
      <c r="A318" s="68" t="s">
        <v>39</v>
      </c>
      <c r="B318" s="68" t="s">
        <v>40</v>
      </c>
      <c r="C318" s="68" t="n">
        <v>2024</v>
      </c>
      <c r="D318" s="68" t="s">
        <v>805</v>
      </c>
      <c r="E318" s="68" t="s">
        <v>811</v>
      </c>
      <c r="F318" s="68" t="n">
        <v>19083</v>
      </c>
      <c r="G318" s="68" t="n">
        <v>41979</v>
      </c>
      <c r="H318" s="68" t="n">
        <v>139.52</v>
      </c>
      <c r="I318" s="68" t="n">
        <v>59.7</v>
      </c>
      <c r="J318" s="68" t="n">
        <v>2.32</v>
      </c>
      <c r="K318" s="68"/>
    </row>
    <row r="319" customFormat="false" ht="14.25" hidden="false" customHeight="true" outlineLevel="0" collapsed="false">
      <c r="A319" s="68" t="s">
        <v>57</v>
      </c>
      <c r="B319" s="68" t="s">
        <v>58</v>
      </c>
      <c r="C319" s="68" t="n">
        <v>2024</v>
      </c>
      <c r="D319" s="68" t="s">
        <v>805</v>
      </c>
      <c r="E319" s="68" t="s">
        <v>811</v>
      </c>
      <c r="F319" s="68" t="n">
        <v>5852</v>
      </c>
      <c r="G319" s="68" t="n">
        <v>16643</v>
      </c>
      <c r="H319" s="68" t="n">
        <v>105.68</v>
      </c>
      <c r="I319" s="68" t="n">
        <v>47.8</v>
      </c>
      <c r="J319" s="68" t="n">
        <v>2.46</v>
      </c>
      <c r="K319" s="68"/>
    </row>
    <row r="320" customFormat="false" ht="14.25" hidden="false" customHeight="true" outlineLevel="0" collapsed="false">
      <c r="A320" s="68" t="s">
        <v>22</v>
      </c>
      <c r="B320" s="68" t="s">
        <v>23</v>
      </c>
      <c r="C320" s="68" t="n">
        <v>2021</v>
      </c>
      <c r="D320" s="68" t="s">
        <v>801</v>
      </c>
      <c r="E320" s="68" t="s">
        <v>812</v>
      </c>
      <c r="F320" s="68" t="n">
        <v>1782</v>
      </c>
      <c r="G320" s="68" t="n">
        <v>8499</v>
      </c>
      <c r="H320" s="68" t="n">
        <v>84.3</v>
      </c>
      <c r="I320" s="68" t="n">
        <v>41.3</v>
      </c>
      <c r="J320" s="68" t="n">
        <v>2.6</v>
      </c>
      <c r="K320" s="68"/>
    </row>
    <row r="321" customFormat="false" ht="14.25" hidden="false" customHeight="true" outlineLevel="0" collapsed="false">
      <c r="A321" s="68" t="s">
        <v>67</v>
      </c>
      <c r="B321" s="68" t="s">
        <v>68</v>
      </c>
      <c r="C321" s="68" t="n">
        <v>2025</v>
      </c>
      <c r="D321" s="68" t="s">
        <v>798</v>
      </c>
      <c r="E321" s="68" t="s">
        <v>304</v>
      </c>
      <c r="F321" s="68" t="n">
        <v>2001</v>
      </c>
      <c r="G321" s="68" t="n">
        <v>5236</v>
      </c>
      <c r="H321" s="68" t="n">
        <v>191.82</v>
      </c>
      <c r="I321" s="68" t="n">
        <v>34.8</v>
      </c>
      <c r="J321" s="68" t="n">
        <v>3.08</v>
      </c>
      <c r="K321" s="68"/>
    </row>
    <row r="322" customFormat="false" ht="14.25" hidden="false" customHeight="true" outlineLevel="0" collapsed="false">
      <c r="A322" s="68" t="s">
        <v>50</v>
      </c>
      <c r="B322" s="68" t="s">
        <v>51</v>
      </c>
      <c r="C322" s="68" t="n">
        <v>2023</v>
      </c>
      <c r="D322" s="68" t="s">
        <v>801</v>
      </c>
      <c r="E322" s="68" t="s">
        <v>802</v>
      </c>
      <c r="F322" s="68" t="n">
        <v>7962</v>
      </c>
      <c r="G322" s="68" t="n">
        <v>17323</v>
      </c>
      <c r="H322" s="68" t="n">
        <v>135.3</v>
      </c>
      <c r="I322" s="68" t="n">
        <v>59.9</v>
      </c>
      <c r="J322" s="68" t="n">
        <v>2.28</v>
      </c>
      <c r="K322" s="68"/>
    </row>
    <row r="323" customFormat="false" ht="14.25" hidden="false" customHeight="true" outlineLevel="0" collapsed="false">
      <c r="A323" s="68" t="s">
        <v>27</v>
      </c>
      <c r="B323" s="68" t="s">
        <v>28</v>
      </c>
      <c r="C323" s="68" t="n">
        <v>2019</v>
      </c>
      <c r="D323" s="68" t="s">
        <v>801</v>
      </c>
      <c r="E323" s="68" t="s">
        <v>823</v>
      </c>
      <c r="F323" s="68" t="n">
        <v>10398</v>
      </c>
      <c r="G323" s="68" t="n">
        <v>22148</v>
      </c>
      <c r="H323" s="68" t="n">
        <v>112.13</v>
      </c>
      <c r="I323" s="68" t="n">
        <v>53.6</v>
      </c>
      <c r="J323" s="68" t="n">
        <v>2.54</v>
      </c>
      <c r="K323" s="68"/>
    </row>
    <row r="324" customFormat="false" ht="14.25" hidden="false" customHeight="true" outlineLevel="0" collapsed="false">
      <c r="A324" s="68" t="s">
        <v>57</v>
      </c>
      <c r="B324" s="68" t="s">
        <v>58</v>
      </c>
      <c r="C324" s="68" t="n">
        <v>2019</v>
      </c>
      <c r="D324" s="68" t="s">
        <v>797</v>
      </c>
      <c r="E324" s="68" t="s">
        <v>815</v>
      </c>
      <c r="F324" s="68" t="n">
        <v>7378</v>
      </c>
      <c r="G324" s="68" t="n">
        <v>18681</v>
      </c>
      <c r="H324" s="68" t="n">
        <v>94.33</v>
      </c>
      <c r="I324" s="68" t="n">
        <v>61.8</v>
      </c>
      <c r="J324" s="68" t="n">
        <v>2.67</v>
      </c>
      <c r="K324" s="68"/>
    </row>
    <row r="325" customFormat="false" ht="14.25" hidden="false" customHeight="true" outlineLevel="0" collapsed="false">
      <c r="A325" s="68" t="s">
        <v>39</v>
      </c>
      <c r="B325" s="68" t="s">
        <v>40</v>
      </c>
      <c r="C325" s="68" t="n">
        <v>2024</v>
      </c>
      <c r="D325" s="68" t="s">
        <v>797</v>
      </c>
      <c r="E325" s="68" t="s">
        <v>821</v>
      </c>
      <c r="F325" s="68" t="n">
        <v>26611</v>
      </c>
      <c r="G325" s="68" t="n">
        <v>56513</v>
      </c>
      <c r="H325" s="68" t="n">
        <v>128.1</v>
      </c>
      <c r="I325" s="68" t="n">
        <v>59.5</v>
      </c>
      <c r="J325" s="68" t="n">
        <v>2.34</v>
      </c>
      <c r="K325" s="68"/>
    </row>
    <row r="326" customFormat="false" ht="14.25" hidden="false" customHeight="true" outlineLevel="0" collapsed="false">
      <c r="A326" s="68" t="s">
        <v>46</v>
      </c>
      <c r="B326" s="68" t="s">
        <v>47</v>
      </c>
      <c r="C326" s="68" t="n">
        <v>2022</v>
      </c>
      <c r="D326" s="68" t="s">
        <v>805</v>
      </c>
      <c r="E326" s="68" t="s">
        <v>819</v>
      </c>
      <c r="F326" s="68" t="n">
        <v>3570</v>
      </c>
      <c r="G326" s="68" t="n">
        <v>9375</v>
      </c>
      <c r="H326" s="68" t="n">
        <v>88.47</v>
      </c>
      <c r="I326" s="68" t="n">
        <v>43.7</v>
      </c>
      <c r="J326" s="68" t="n">
        <v>2.31</v>
      </c>
      <c r="K326" s="68"/>
    </row>
    <row r="327" customFormat="false" ht="14.25" hidden="false" customHeight="true" outlineLevel="0" collapsed="false">
      <c r="A327" s="68" t="s">
        <v>27</v>
      </c>
      <c r="B327" s="68" t="s">
        <v>28</v>
      </c>
      <c r="C327" s="68" t="n">
        <v>2024</v>
      </c>
      <c r="D327" s="68" t="s">
        <v>801</v>
      </c>
      <c r="E327" s="68" t="s">
        <v>301</v>
      </c>
      <c r="F327" s="68" t="n">
        <v>9958</v>
      </c>
      <c r="G327" s="68" t="n">
        <v>24161</v>
      </c>
      <c r="H327" s="68" t="n">
        <v>123.19</v>
      </c>
      <c r="I327" s="68" t="n">
        <v>60.2</v>
      </c>
      <c r="J327" s="68" t="n">
        <v>2.69</v>
      </c>
      <c r="K327" s="68"/>
    </row>
    <row r="328" customFormat="false" ht="14.25" hidden="false" customHeight="true" outlineLevel="0" collapsed="false">
      <c r="A328" s="68" t="s">
        <v>35</v>
      </c>
      <c r="B328" s="68" t="s">
        <v>36</v>
      </c>
      <c r="C328" s="68" t="n">
        <v>2021</v>
      </c>
      <c r="D328" s="68" t="s">
        <v>801</v>
      </c>
      <c r="E328" s="68" t="s">
        <v>812</v>
      </c>
      <c r="F328" s="68" t="n">
        <v>3002</v>
      </c>
      <c r="G328" s="68" t="n">
        <v>12434</v>
      </c>
      <c r="H328" s="68" t="n">
        <v>93.45</v>
      </c>
      <c r="I328" s="68" t="n">
        <v>38</v>
      </c>
      <c r="J328" s="68" t="n">
        <v>2.52</v>
      </c>
      <c r="K328" s="68"/>
    </row>
    <row r="329" customFormat="false" ht="14.25" hidden="false" customHeight="true" outlineLevel="0" collapsed="false">
      <c r="A329" s="68" t="s">
        <v>16</v>
      </c>
      <c r="B329" s="68" t="s">
        <v>17</v>
      </c>
      <c r="C329" s="68" t="n">
        <v>2023</v>
      </c>
      <c r="D329" s="68" t="s">
        <v>797</v>
      </c>
      <c r="E329" s="68" t="s">
        <v>820</v>
      </c>
      <c r="F329" s="68" t="n">
        <v>9672</v>
      </c>
      <c r="G329" s="68" t="n">
        <v>17664</v>
      </c>
      <c r="H329" s="68" t="n">
        <v>104.31</v>
      </c>
      <c r="I329" s="68" t="n">
        <v>67.3</v>
      </c>
      <c r="J329" s="68" t="n">
        <v>2.53</v>
      </c>
      <c r="K329" s="68"/>
    </row>
    <row r="330" customFormat="false" ht="14.25" hidden="false" customHeight="true" outlineLevel="0" collapsed="false">
      <c r="A330" s="68" t="s">
        <v>57</v>
      </c>
      <c r="B330" s="68" t="s">
        <v>58</v>
      </c>
      <c r="C330" s="68" t="n">
        <v>2022</v>
      </c>
      <c r="D330" s="68" t="s">
        <v>805</v>
      </c>
      <c r="E330" s="68" t="s">
        <v>819</v>
      </c>
      <c r="F330" s="68" t="n">
        <v>4840</v>
      </c>
      <c r="G330" s="68" t="n">
        <v>10196</v>
      </c>
      <c r="H330" s="68" t="n">
        <v>87.57</v>
      </c>
      <c r="I330" s="68" t="n">
        <v>50</v>
      </c>
      <c r="J330" s="68" t="n">
        <v>2.24</v>
      </c>
      <c r="K330" s="68"/>
    </row>
    <row r="331" customFormat="false" ht="14.25" hidden="false" customHeight="true" outlineLevel="0" collapsed="false">
      <c r="A331" s="68" t="s">
        <v>50</v>
      </c>
      <c r="B331" s="68" t="s">
        <v>51</v>
      </c>
      <c r="C331" s="68" t="n">
        <v>2020</v>
      </c>
      <c r="D331" s="68" t="s">
        <v>805</v>
      </c>
      <c r="E331" s="68" t="s">
        <v>824</v>
      </c>
      <c r="F331" s="68" t="n">
        <v>297</v>
      </c>
      <c r="G331" s="68" t="n">
        <v>5019</v>
      </c>
      <c r="H331" s="68" t="n">
        <v>90.53</v>
      </c>
      <c r="I331" s="68" t="n">
        <v>29.7</v>
      </c>
      <c r="J331" s="68" t="n">
        <v>2.4</v>
      </c>
      <c r="K331" s="68"/>
    </row>
    <row r="332" customFormat="false" ht="14.25" hidden="false" customHeight="true" outlineLevel="0" collapsed="false">
      <c r="A332" s="68" t="s">
        <v>39</v>
      </c>
      <c r="B332" s="68" t="s">
        <v>40</v>
      </c>
      <c r="C332" s="68" t="n">
        <v>2022</v>
      </c>
      <c r="D332" s="68" t="s">
        <v>801</v>
      </c>
      <c r="E332" s="68" t="s">
        <v>803</v>
      </c>
      <c r="F332" s="68" t="n">
        <v>16503</v>
      </c>
      <c r="G332" s="68" t="n">
        <v>44707</v>
      </c>
      <c r="H332" s="68" t="n">
        <v>111.66</v>
      </c>
      <c r="I332" s="68" t="n">
        <v>58.6</v>
      </c>
      <c r="J332" s="68" t="n">
        <v>2.4</v>
      </c>
      <c r="K332" s="68"/>
    </row>
    <row r="333" customFormat="false" ht="14.25" hidden="false" customHeight="true" outlineLevel="0" collapsed="false">
      <c r="A333" s="68" t="s">
        <v>16</v>
      </c>
      <c r="B333" s="68" t="s">
        <v>17</v>
      </c>
      <c r="C333" s="68" t="n">
        <v>2024</v>
      </c>
      <c r="D333" s="68" t="s">
        <v>805</v>
      </c>
      <c r="E333" s="68" t="s">
        <v>811</v>
      </c>
      <c r="F333" s="68" t="n">
        <v>5445</v>
      </c>
      <c r="G333" s="68" t="n">
        <v>13959</v>
      </c>
      <c r="H333" s="68" t="n">
        <v>113.37</v>
      </c>
      <c r="I333" s="68" t="n">
        <v>58.9</v>
      </c>
      <c r="J333" s="68" t="n">
        <v>2.28</v>
      </c>
      <c r="K333" s="68"/>
    </row>
    <row r="334" customFormat="false" ht="14.25" hidden="false" customHeight="true" outlineLevel="0" collapsed="false">
      <c r="A334" s="68" t="s">
        <v>55</v>
      </c>
      <c r="B334" s="68" t="s">
        <v>56</v>
      </c>
      <c r="C334" s="68" t="n">
        <v>2023</v>
      </c>
      <c r="D334" s="68" t="s">
        <v>798</v>
      </c>
      <c r="E334" s="68" t="s">
        <v>800</v>
      </c>
      <c r="F334" s="68" t="n">
        <v>8179</v>
      </c>
      <c r="G334" s="68" t="n">
        <v>18018</v>
      </c>
      <c r="H334" s="68" t="n">
        <v>94.43</v>
      </c>
      <c r="I334" s="68" t="n">
        <v>48.6</v>
      </c>
      <c r="J334" s="68" t="n">
        <v>2.26</v>
      </c>
      <c r="K334" s="68"/>
    </row>
    <row r="335" customFormat="false" ht="14.25" hidden="false" customHeight="true" outlineLevel="0" collapsed="false">
      <c r="A335" s="68" t="s">
        <v>39</v>
      </c>
      <c r="B335" s="68" t="s">
        <v>40</v>
      </c>
      <c r="C335" s="68" t="n">
        <v>2022</v>
      </c>
      <c r="D335" s="68" t="s">
        <v>797</v>
      </c>
      <c r="E335" s="68" t="s">
        <v>822</v>
      </c>
      <c r="F335" s="68" t="n">
        <v>15106</v>
      </c>
      <c r="G335" s="68" t="n">
        <v>37948</v>
      </c>
      <c r="H335" s="68" t="n">
        <v>118.55</v>
      </c>
      <c r="I335" s="68" t="n">
        <v>52.3</v>
      </c>
      <c r="J335" s="68" t="n">
        <v>2.5</v>
      </c>
      <c r="K335" s="68"/>
    </row>
    <row r="336" customFormat="false" ht="14.25" hidden="false" customHeight="true" outlineLevel="0" collapsed="false">
      <c r="A336" s="68" t="s">
        <v>46</v>
      </c>
      <c r="B336" s="68" t="s">
        <v>47</v>
      </c>
      <c r="C336" s="68" t="n">
        <v>2023</v>
      </c>
      <c r="D336" s="68" t="s">
        <v>805</v>
      </c>
      <c r="E336" s="68" t="s">
        <v>809</v>
      </c>
      <c r="F336" s="68" t="n">
        <v>5292</v>
      </c>
      <c r="G336" s="68" t="n">
        <v>11648</v>
      </c>
      <c r="H336" s="68" t="n">
        <v>104.59</v>
      </c>
      <c r="I336" s="68" t="n">
        <v>51.8</v>
      </c>
      <c r="J336" s="68" t="n">
        <v>2.22</v>
      </c>
      <c r="K336" s="68"/>
    </row>
    <row r="337" customFormat="false" ht="14.25" hidden="false" customHeight="true" outlineLevel="0" collapsed="false">
      <c r="A337" s="68" t="s">
        <v>35</v>
      </c>
      <c r="B337" s="68" t="s">
        <v>36</v>
      </c>
      <c r="C337" s="68" t="n">
        <v>2022</v>
      </c>
      <c r="D337" s="68" t="s">
        <v>798</v>
      </c>
      <c r="E337" s="68" t="s">
        <v>807</v>
      </c>
      <c r="F337" s="68" t="n">
        <v>5852</v>
      </c>
      <c r="G337" s="68" t="n">
        <v>12530</v>
      </c>
      <c r="H337" s="68" t="n">
        <v>114.98</v>
      </c>
      <c r="I337" s="68" t="n">
        <v>46.8</v>
      </c>
      <c r="J337" s="68" t="n">
        <v>2.26</v>
      </c>
      <c r="K337" s="68"/>
    </row>
    <row r="338" customFormat="false" ht="14.25" hidden="false" customHeight="true" outlineLevel="0" collapsed="false">
      <c r="A338" s="68" t="s">
        <v>57</v>
      </c>
      <c r="B338" s="68" t="s">
        <v>58</v>
      </c>
      <c r="C338" s="68" t="n">
        <v>2022</v>
      </c>
      <c r="D338" s="68" t="s">
        <v>798</v>
      </c>
      <c r="E338" s="68" t="s">
        <v>807</v>
      </c>
      <c r="F338" s="68" t="n">
        <v>3740</v>
      </c>
      <c r="G338" s="68" t="n">
        <v>10512</v>
      </c>
      <c r="H338" s="68" t="n">
        <v>96.48</v>
      </c>
      <c r="I338" s="68" t="n">
        <v>46.1</v>
      </c>
      <c r="J338" s="68" t="n">
        <v>2.28</v>
      </c>
      <c r="K338" s="68"/>
    </row>
    <row r="339" customFormat="false" ht="14.25" hidden="false" customHeight="true" outlineLevel="0" collapsed="false">
      <c r="A339" s="68" t="s">
        <v>22</v>
      </c>
      <c r="B339" s="68" t="s">
        <v>23</v>
      </c>
      <c r="C339" s="68" t="n">
        <v>2020</v>
      </c>
      <c r="D339" s="68" t="s">
        <v>805</v>
      </c>
      <c r="E339" s="68" t="s">
        <v>824</v>
      </c>
      <c r="F339" s="68" t="n">
        <v>267</v>
      </c>
      <c r="G339" s="68" t="n">
        <v>5222</v>
      </c>
      <c r="H339" s="68" t="n">
        <v>73.1</v>
      </c>
      <c r="I339" s="68" t="n">
        <v>31.2</v>
      </c>
      <c r="J339" s="68" t="n">
        <v>2.39</v>
      </c>
      <c r="K339" s="68"/>
    </row>
    <row r="340" customFormat="false" ht="14.25" hidden="false" customHeight="true" outlineLevel="0" collapsed="false">
      <c r="A340" s="68" t="s">
        <v>55</v>
      </c>
      <c r="B340" s="68" t="s">
        <v>56</v>
      </c>
      <c r="C340" s="68" t="n">
        <v>2024</v>
      </c>
      <c r="D340" s="68" t="s">
        <v>805</v>
      </c>
      <c r="E340" s="68" t="s">
        <v>811</v>
      </c>
      <c r="F340" s="68" t="n">
        <v>10917</v>
      </c>
      <c r="G340" s="68" t="n">
        <v>22421</v>
      </c>
      <c r="H340" s="68" t="n">
        <v>99.16</v>
      </c>
      <c r="I340" s="68" t="n">
        <v>51.4</v>
      </c>
      <c r="J340" s="68" t="n">
        <v>2.39</v>
      </c>
      <c r="K340" s="68"/>
    </row>
    <row r="341" customFormat="false" ht="14.25" hidden="false" customHeight="true" outlineLevel="0" collapsed="false">
      <c r="A341" s="68" t="s">
        <v>27</v>
      </c>
      <c r="B341" s="68" t="s">
        <v>28</v>
      </c>
      <c r="C341" s="68" t="n">
        <v>2025</v>
      </c>
      <c r="D341" s="68" t="s">
        <v>798</v>
      </c>
      <c r="E341" s="68" t="s">
        <v>304</v>
      </c>
      <c r="F341" s="68" t="n">
        <v>8739</v>
      </c>
      <c r="G341" s="68" t="n">
        <v>16756</v>
      </c>
      <c r="H341" s="68" t="n">
        <v>124.31</v>
      </c>
      <c r="I341" s="68" t="n">
        <v>44.2</v>
      </c>
      <c r="J341" s="68" t="n">
        <v>2.35</v>
      </c>
      <c r="K341" s="68"/>
    </row>
    <row r="342" customFormat="false" ht="14.25" hidden="false" customHeight="true" outlineLevel="0" collapsed="false">
      <c r="A342" s="68" t="s">
        <v>46</v>
      </c>
      <c r="B342" s="68" t="s">
        <v>47</v>
      </c>
      <c r="C342" s="68" t="n">
        <v>2024</v>
      </c>
      <c r="D342" s="68" t="s">
        <v>805</v>
      </c>
      <c r="E342" s="68" t="s">
        <v>811</v>
      </c>
      <c r="F342" s="68" t="n">
        <v>4957</v>
      </c>
      <c r="G342" s="68" t="n">
        <v>12404</v>
      </c>
      <c r="H342" s="68" t="n">
        <v>92.04</v>
      </c>
      <c r="I342" s="68" t="n">
        <v>52.8</v>
      </c>
      <c r="J342" s="68" t="n">
        <v>2.45</v>
      </c>
      <c r="K342" s="68"/>
    </row>
    <row r="343" customFormat="false" ht="14.25" hidden="false" customHeight="true" outlineLevel="0" collapsed="false">
      <c r="A343" s="68" t="s">
        <v>42</v>
      </c>
      <c r="B343" s="68" t="s">
        <v>43</v>
      </c>
      <c r="C343" s="68" t="n">
        <v>2024</v>
      </c>
      <c r="D343" s="68" t="s">
        <v>801</v>
      </c>
      <c r="E343" s="68" t="s">
        <v>301</v>
      </c>
      <c r="F343" s="68" t="n">
        <v>40952</v>
      </c>
      <c r="G343" s="68" t="n">
        <v>82141</v>
      </c>
      <c r="H343" s="68" t="n">
        <v>182.31</v>
      </c>
      <c r="I343" s="68" t="n">
        <v>66.6</v>
      </c>
      <c r="J343" s="68" t="n">
        <v>2.36</v>
      </c>
      <c r="K343" s="68"/>
    </row>
    <row r="344" customFormat="false" ht="14.25" hidden="false" customHeight="true" outlineLevel="0" collapsed="false">
      <c r="A344" s="68" t="s">
        <v>57</v>
      </c>
      <c r="B344" s="68" t="s">
        <v>58</v>
      </c>
      <c r="C344" s="68" t="n">
        <v>2020</v>
      </c>
      <c r="D344" s="68" t="s">
        <v>798</v>
      </c>
      <c r="E344" s="68" t="s">
        <v>816</v>
      </c>
      <c r="F344" s="68" t="n">
        <v>266</v>
      </c>
      <c r="G344" s="68" t="n">
        <v>3655</v>
      </c>
      <c r="H344" s="68" t="n">
        <v>66.16</v>
      </c>
      <c r="I344" s="68" t="n">
        <v>32.6</v>
      </c>
      <c r="J344" s="68" t="n">
        <v>2.35</v>
      </c>
      <c r="K344" s="68"/>
    </row>
    <row r="345" customFormat="false" ht="14.25" hidden="false" customHeight="true" outlineLevel="0" collapsed="false">
      <c r="A345" s="68" t="s">
        <v>53</v>
      </c>
      <c r="B345" s="68" t="s">
        <v>54</v>
      </c>
      <c r="C345" s="68" t="n">
        <v>2019</v>
      </c>
      <c r="D345" s="68" t="s">
        <v>798</v>
      </c>
      <c r="E345" s="68" t="s">
        <v>799</v>
      </c>
      <c r="F345" s="68" t="n">
        <v>5146</v>
      </c>
      <c r="G345" s="68" t="n">
        <v>14409</v>
      </c>
      <c r="H345" s="68" t="n">
        <v>100.4</v>
      </c>
      <c r="I345" s="68" t="n">
        <v>51</v>
      </c>
      <c r="J345" s="68" t="n">
        <v>2.09</v>
      </c>
      <c r="K345" s="68"/>
    </row>
    <row r="346" customFormat="false" ht="14.25" hidden="false" customHeight="true" outlineLevel="0" collapsed="false">
      <c r="A346" s="68" t="s">
        <v>67</v>
      </c>
      <c r="B346" s="68" t="s">
        <v>68</v>
      </c>
      <c r="C346" s="68" t="n">
        <v>2023</v>
      </c>
      <c r="D346" s="68" t="s">
        <v>797</v>
      </c>
      <c r="E346" s="68" t="s">
        <v>820</v>
      </c>
      <c r="F346" s="68" t="n">
        <v>13597</v>
      </c>
      <c r="G346" s="68" t="n">
        <v>29687</v>
      </c>
      <c r="H346" s="68" t="n">
        <v>230.86</v>
      </c>
      <c r="I346" s="68" t="n">
        <v>82.5</v>
      </c>
      <c r="J346" s="68" t="n">
        <v>4.71</v>
      </c>
      <c r="K346" s="68"/>
    </row>
    <row r="347" customFormat="false" ht="14.25" hidden="false" customHeight="true" outlineLevel="0" collapsed="false">
      <c r="A347" s="68" t="s">
        <v>67</v>
      </c>
      <c r="B347" s="68" t="s">
        <v>68</v>
      </c>
      <c r="C347" s="68" t="n">
        <v>2021</v>
      </c>
      <c r="D347" s="68" t="s">
        <v>805</v>
      </c>
      <c r="E347" s="68" t="s">
        <v>806</v>
      </c>
      <c r="F347" s="68" t="n">
        <v>442</v>
      </c>
      <c r="G347" s="68" t="n">
        <v>3782</v>
      </c>
      <c r="H347" s="68" t="n">
        <v>124.91</v>
      </c>
      <c r="I347" s="68" t="n">
        <v>28.4</v>
      </c>
      <c r="J347" s="68" t="n">
        <v>3.38</v>
      </c>
      <c r="K347" s="68"/>
    </row>
    <row r="348" customFormat="false" ht="14.25" hidden="false" customHeight="true" outlineLevel="0" collapsed="false">
      <c r="A348" s="68" t="s">
        <v>35</v>
      </c>
      <c r="B348" s="68" t="s">
        <v>36</v>
      </c>
      <c r="C348" s="68" t="n">
        <v>2023</v>
      </c>
      <c r="D348" s="68" t="s">
        <v>801</v>
      </c>
      <c r="E348" s="68" t="s">
        <v>802</v>
      </c>
      <c r="F348" s="68" t="n">
        <v>10140</v>
      </c>
      <c r="G348" s="68" t="n">
        <v>22309</v>
      </c>
      <c r="H348" s="68" t="n">
        <v>115.42</v>
      </c>
      <c r="I348" s="68" t="n">
        <v>68.5</v>
      </c>
      <c r="J348" s="68" t="n">
        <v>2.47</v>
      </c>
      <c r="K348" s="68"/>
    </row>
    <row r="349" customFormat="false" ht="14.25" hidden="false" customHeight="true" outlineLevel="0" collapsed="false">
      <c r="A349" s="68" t="s">
        <v>35</v>
      </c>
      <c r="B349" s="68" t="s">
        <v>36</v>
      </c>
      <c r="C349" s="68" t="n">
        <v>2024</v>
      </c>
      <c r="D349" s="68" t="s">
        <v>805</v>
      </c>
      <c r="E349" s="68" t="s">
        <v>811</v>
      </c>
      <c r="F349" s="68" t="n">
        <v>8328</v>
      </c>
      <c r="G349" s="68" t="n">
        <v>19991</v>
      </c>
      <c r="H349" s="68" t="n">
        <v>113.46</v>
      </c>
      <c r="I349" s="68" t="n">
        <v>60.8</v>
      </c>
      <c r="J349" s="68" t="n">
        <v>2.34</v>
      </c>
      <c r="K349" s="68"/>
    </row>
    <row r="350" customFormat="false" ht="14.25" hidden="false" customHeight="true" outlineLevel="0" collapsed="false">
      <c r="A350" s="68" t="s">
        <v>55</v>
      </c>
      <c r="B350" s="68" t="s">
        <v>56</v>
      </c>
      <c r="C350" s="68" t="n">
        <v>2024</v>
      </c>
      <c r="D350" s="68" t="s">
        <v>801</v>
      </c>
      <c r="E350" s="68" t="s">
        <v>301</v>
      </c>
      <c r="F350" s="68" t="n">
        <v>12845</v>
      </c>
      <c r="G350" s="68" t="n">
        <v>28442</v>
      </c>
      <c r="H350" s="68" t="n">
        <v>108.75</v>
      </c>
      <c r="I350" s="68" t="n">
        <v>50.1</v>
      </c>
      <c r="J350" s="68" t="n">
        <v>2.44</v>
      </c>
      <c r="K350" s="68"/>
    </row>
    <row r="351" customFormat="false" ht="14.25" hidden="false" customHeight="true" outlineLevel="0" collapsed="false">
      <c r="A351" s="68" t="s">
        <v>46</v>
      </c>
      <c r="B351" s="68" t="s">
        <v>47</v>
      </c>
      <c r="C351" s="68" t="n">
        <v>2019</v>
      </c>
      <c r="D351" s="68" t="s">
        <v>797</v>
      </c>
      <c r="E351" s="68" t="s">
        <v>815</v>
      </c>
      <c r="F351" s="68" t="n">
        <v>6113</v>
      </c>
      <c r="G351" s="68" t="n">
        <v>17040</v>
      </c>
      <c r="H351" s="68" t="n">
        <v>88.6</v>
      </c>
      <c r="I351" s="68" t="n">
        <v>57.4</v>
      </c>
      <c r="J351" s="68" t="n">
        <v>2.39</v>
      </c>
      <c r="K351" s="68"/>
    </row>
    <row r="352" customFormat="false" ht="14.25" hidden="false" customHeight="true" outlineLevel="0" collapsed="false">
      <c r="A352" s="68" t="s">
        <v>57</v>
      </c>
      <c r="B352" s="68" t="s">
        <v>58</v>
      </c>
      <c r="C352" s="68" t="n">
        <v>2023</v>
      </c>
      <c r="D352" s="68" t="s">
        <v>798</v>
      </c>
      <c r="E352" s="68" t="s">
        <v>800</v>
      </c>
      <c r="F352" s="68" t="n">
        <v>4926</v>
      </c>
      <c r="G352" s="68" t="n">
        <v>11487</v>
      </c>
      <c r="H352" s="68" t="n">
        <v>107.28</v>
      </c>
      <c r="I352" s="68" t="n">
        <v>49</v>
      </c>
      <c r="J352" s="68" t="n">
        <v>2.28</v>
      </c>
      <c r="K352" s="68"/>
    </row>
    <row r="353" customFormat="false" ht="14.25" hidden="false" customHeight="true" outlineLevel="0" collapsed="false">
      <c r="A353" s="68" t="s">
        <v>55</v>
      </c>
      <c r="B353" s="68" t="s">
        <v>56</v>
      </c>
      <c r="C353" s="68" t="n">
        <v>2020</v>
      </c>
      <c r="D353" s="68" t="s">
        <v>805</v>
      </c>
      <c r="E353" s="68" t="s">
        <v>824</v>
      </c>
      <c r="F353" s="68" t="n">
        <v>506</v>
      </c>
      <c r="G353" s="68" t="n">
        <v>7848</v>
      </c>
      <c r="H353" s="68" t="n">
        <v>63.7</v>
      </c>
      <c r="I353" s="68" t="n">
        <v>31.1</v>
      </c>
      <c r="J353" s="68" t="n">
        <v>2.28</v>
      </c>
      <c r="K353" s="68"/>
    </row>
    <row r="354" customFormat="false" ht="14.25" hidden="false" customHeight="true" outlineLevel="0" collapsed="false">
      <c r="A354" s="68" t="s">
        <v>31</v>
      </c>
      <c r="B354" s="68" t="s">
        <v>32</v>
      </c>
      <c r="C354" s="68" t="n">
        <v>2021</v>
      </c>
      <c r="D354" s="68" t="s">
        <v>805</v>
      </c>
      <c r="E354" s="68" t="s">
        <v>806</v>
      </c>
      <c r="F354" s="68" t="n">
        <v>802</v>
      </c>
      <c r="G354" s="68" t="n">
        <v>6650</v>
      </c>
      <c r="H354" s="68" t="n">
        <v>74.65</v>
      </c>
      <c r="I354" s="68" t="n">
        <v>35.1</v>
      </c>
      <c r="J354" s="68" t="n">
        <v>2.6</v>
      </c>
      <c r="K354" s="68"/>
    </row>
    <row r="355" customFormat="false" ht="14.25" hidden="false" customHeight="true" outlineLevel="0" collapsed="false">
      <c r="A355" s="68" t="s">
        <v>31</v>
      </c>
      <c r="B355" s="68" t="s">
        <v>32</v>
      </c>
      <c r="C355" s="68" t="n">
        <v>2022</v>
      </c>
      <c r="D355" s="68" t="s">
        <v>805</v>
      </c>
      <c r="E355" s="68" t="s">
        <v>819</v>
      </c>
      <c r="F355" s="68" t="n">
        <v>5210</v>
      </c>
      <c r="G355" s="68" t="n">
        <v>12385</v>
      </c>
      <c r="H355" s="68" t="n">
        <v>100.95</v>
      </c>
      <c r="I355" s="68" t="n">
        <v>46.3</v>
      </c>
      <c r="J355" s="68" t="n">
        <v>2.38</v>
      </c>
      <c r="K355" s="68"/>
    </row>
    <row r="356" customFormat="false" ht="14.25" hidden="false" customHeight="true" outlineLevel="0" collapsed="false">
      <c r="A356" s="68" t="s">
        <v>57</v>
      </c>
      <c r="B356" s="68" t="s">
        <v>58</v>
      </c>
      <c r="C356" s="68" t="n">
        <v>2024</v>
      </c>
      <c r="D356" s="68" t="s">
        <v>801</v>
      </c>
      <c r="E356" s="68" t="s">
        <v>301</v>
      </c>
      <c r="F356" s="68" t="n">
        <v>8222</v>
      </c>
      <c r="G356" s="68" t="n">
        <v>20167</v>
      </c>
      <c r="H356" s="68" t="n">
        <v>116.12</v>
      </c>
      <c r="I356" s="68" t="n">
        <v>58.2</v>
      </c>
      <c r="J356" s="68" t="n">
        <v>2.5</v>
      </c>
      <c r="K356" s="68"/>
    </row>
    <row r="357" customFormat="false" ht="14.25" hidden="false" customHeight="true" outlineLevel="0" collapsed="false">
      <c r="A357" s="68" t="s">
        <v>27</v>
      </c>
      <c r="B357" s="68" t="s">
        <v>28</v>
      </c>
      <c r="C357" s="68" t="n">
        <v>2022</v>
      </c>
      <c r="D357" s="68" t="s">
        <v>797</v>
      </c>
      <c r="E357" s="68" t="s">
        <v>822</v>
      </c>
      <c r="F357" s="68" t="n">
        <v>9989</v>
      </c>
      <c r="G357" s="68" t="n">
        <v>23237</v>
      </c>
      <c r="H357" s="68" t="n">
        <v>112.33</v>
      </c>
      <c r="I357" s="68" t="n">
        <v>52.9</v>
      </c>
      <c r="J357" s="68" t="n">
        <v>2.55</v>
      </c>
      <c r="K357" s="68"/>
    </row>
    <row r="358" customFormat="false" ht="14.25" hidden="false" customHeight="true" outlineLevel="0" collapsed="false">
      <c r="A358" s="68" t="s">
        <v>64</v>
      </c>
      <c r="B358" s="68" t="s">
        <v>65</v>
      </c>
      <c r="C358" s="68" t="n">
        <v>2021</v>
      </c>
      <c r="D358" s="68" t="s">
        <v>801</v>
      </c>
      <c r="E358" s="68" t="s">
        <v>812</v>
      </c>
      <c r="F358" s="68" t="n">
        <v>1038</v>
      </c>
      <c r="G358" s="68" t="n">
        <v>4382</v>
      </c>
      <c r="H358" s="68" t="n">
        <v>123.68</v>
      </c>
      <c r="I358" s="68" t="n">
        <v>35.3</v>
      </c>
      <c r="J358" s="68" t="n">
        <v>4.29</v>
      </c>
      <c r="K358" s="68"/>
    </row>
    <row r="359" customFormat="false" ht="14.25" hidden="false" customHeight="true" outlineLevel="0" collapsed="false">
      <c r="A359" s="68" t="s">
        <v>31</v>
      </c>
      <c r="B359" s="68" t="s">
        <v>32</v>
      </c>
      <c r="C359" s="68" t="n">
        <v>2020</v>
      </c>
      <c r="D359" s="68" t="s">
        <v>801</v>
      </c>
      <c r="E359" s="68" t="s">
        <v>810</v>
      </c>
      <c r="F359" s="68" t="n">
        <v>413</v>
      </c>
      <c r="G359" s="68" t="n">
        <v>6475</v>
      </c>
      <c r="H359" s="68" t="n">
        <v>76.12</v>
      </c>
      <c r="I359" s="68" t="n">
        <v>30.8</v>
      </c>
      <c r="J359" s="68" t="n">
        <v>2.72</v>
      </c>
      <c r="K359" s="68"/>
    </row>
    <row r="360" customFormat="false" ht="14.25" hidden="false" customHeight="true" outlineLevel="0" collapsed="false">
      <c r="A360" s="68" t="s">
        <v>50</v>
      </c>
      <c r="B360" s="68" t="s">
        <v>51</v>
      </c>
      <c r="C360" s="68" t="n">
        <v>2023</v>
      </c>
      <c r="D360" s="68" t="s">
        <v>798</v>
      </c>
      <c r="E360" s="68" t="s">
        <v>800</v>
      </c>
      <c r="F360" s="68" t="n">
        <v>4937</v>
      </c>
      <c r="G360" s="68" t="n">
        <v>11621</v>
      </c>
      <c r="H360" s="68" t="n">
        <v>153.82</v>
      </c>
      <c r="I360" s="68" t="n">
        <v>50</v>
      </c>
      <c r="J360" s="68" t="n">
        <v>2.18</v>
      </c>
      <c r="K360" s="68"/>
    </row>
    <row r="361" customFormat="false" ht="14.25" hidden="false" customHeight="true" outlineLevel="0" collapsed="false">
      <c r="A361" s="68" t="s">
        <v>67</v>
      </c>
      <c r="B361" s="68" t="s">
        <v>68</v>
      </c>
      <c r="C361" s="68" t="n">
        <v>2022</v>
      </c>
      <c r="D361" s="68" t="s">
        <v>801</v>
      </c>
      <c r="E361" s="68" t="s">
        <v>803</v>
      </c>
      <c r="F361" s="68" t="n">
        <v>6125</v>
      </c>
      <c r="G361" s="68" t="n">
        <v>16225</v>
      </c>
      <c r="H361" s="68" t="n">
        <v>185.47</v>
      </c>
      <c r="I361" s="68" t="n">
        <v>47.1</v>
      </c>
      <c r="J361" s="68" t="n">
        <v>4.02</v>
      </c>
      <c r="K361" s="68"/>
    </row>
    <row r="362" customFormat="false" ht="14.25" hidden="false" customHeight="true" outlineLevel="0" collapsed="false">
      <c r="A362" s="68" t="s">
        <v>67</v>
      </c>
      <c r="B362" s="68" t="s">
        <v>68</v>
      </c>
      <c r="C362" s="68" t="n">
        <v>2020</v>
      </c>
      <c r="D362" s="68" t="s">
        <v>801</v>
      </c>
      <c r="E362" s="68" t="s">
        <v>810</v>
      </c>
      <c r="F362" s="68" t="n">
        <v>395</v>
      </c>
      <c r="G362" s="68" t="n">
        <v>6745</v>
      </c>
      <c r="H362" s="68" t="n">
        <v>128.04</v>
      </c>
      <c r="I362" s="68" t="n">
        <v>32.1</v>
      </c>
      <c r="J362" s="68" t="n">
        <v>3.92</v>
      </c>
      <c r="K362" s="68"/>
    </row>
    <row r="363" customFormat="false" ht="14.25" hidden="false" customHeight="true" outlineLevel="0" collapsed="false">
      <c r="A363" s="68" t="s">
        <v>39</v>
      </c>
      <c r="B363" s="68" t="s">
        <v>40</v>
      </c>
      <c r="C363" s="68" t="n">
        <v>2019</v>
      </c>
      <c r="D363" s="68" t="s">
        <v>798</v>
      </c>
      <c r="E363" s="68" t="s">
        <v>799</v>
      </c>
      <c r="F363" s="68" t="n">
        <v>10322</v>
      </c>
      <c r="G363" s="68" t="n">
        <v>26058</v>
      </c>
      <c r="H363" s="68" t="n">
        <v>99.12</v>
      </c>
      <c r="I363" s="68"/>
      <c r="J363" s="68" t="n">
        <v>2.22</v>
      </c>
      <c r="K363" s="68"/>
    </row>
    <row r="364" customFormat="false" ht="14.25" hidden="false" customHeight="true" outlineLevel="0" collapsed="false">
      <c r="A364" s="68" t="s">
        <v>39</v>
      </c>
      <c r="B364" s="68" t="s">
        <v>40</v>
      </c>
      <c r="C364" s="68" t="n">
        <v>2023</v>
      </c>
      <c r="D364" s="68" t="s">
        <v>801</v>
      </c>
      <c r="E364" s="68" t="s">
        <v>802</v>
      </c>
      <c r="F364" s="68" t="n">
        <v>20820</v>
      </c>
      <c r="G364" s="68" t="n">
        <v>51013</v>
      </c>
      <c r="H364" s="68" t="n">
        <v>134.34</v>
      </c>
      <c r="I364" s="68" t="n">
        <v>57.7</v>
      </c>
      <c r="J364" s="68" t="n">
        <v>2.49</v>
      </c>
      <c r="K364" s="68"/>
    </row>
    <row r="365" customFormat="false" ht="14.25" hidden="false" customHeight="true" outlineLevel="0" collapsed="false">
      <c r="A365" s="68" t="s">
        <v>50</v>
      </c>
      <c r="B365" s="68" t="s">
        <v>51</v>
      </c>
      <c r="C365" s="68" t="n">
        <v>2024</v>
      </c>
      <c r="D365" s="68" t="s">
        <v>798</v>
      </c>
      <c r="E365" s="68" t="s">
        <v>808</v>
      </c>
      <c r="F365" s="68" t="n">
        <v>6218</v>
      </c>
      <c r="G365" s="68" t="n">
        <v>12480</v>
      </c>
      <c r="H365" s="68" t="n">
        <v>170.98</v>
      </c>
      <c r="I365" s="68" t="n">
        <v>46.5</v>
      </c>
      <c r="J365" s="68" t="n">
        <v>2.4</v>
      </c>
      <c r="K365" s="68"/>
    </row>
    <row r="366" customFormat="false" ht="14.25" hidden="false" customHeight="true" outlineLevel="0" collapsed="false">
      <c r="A366" s="68" t="s">
        <v>57</v>
      </c>
      <c r="B366" s="68" t="s">
        <v>58</v>
      </c>
      <c r="C366" s="68" t="n">
        <v>2023</v>
      </c>
      <c r="D366" s="68" t="s">
        <v>797</v>
      </c>
      <c r="E366" s="68" t="s">
        <v>820</v>
      </c>
      <c r="F366" s="68" t="n">
        <v>8690</v>
      </c>
      <c r="G366" s="68" t="n">
        <v>19986</v>
      </c>
      <c r="H366" s="68" t="n">
        <v>105.59</v>
      </c>
      <c r="I366" s="68" t="n">
        <v>56.2</v>
      </c>
      <c r="J366" s="68" t="n">
        <v>2.72</v>
      </c>
      <c r="K366" s="68"/>
    </row>
    <row r="367" customFormat="false" ht="14.25" hidden="false" customHeight="true" outlineLevel="0" collapsed="false">
      <c r="A367" s="68" t="s">
        <v>39</v>
      </c>
      <c r="B367" s="68" t="s">
        <v>40</v>
      </c>
      <c r="C367" s="68" t="n">
        <v>2023</v>
      </c>
      <c r="D367" s="68" t="s">
        <v>798</v>
      </c>
      <c r="E367" s="68" t="s">
        <v>800</v>
      </c>
      <c r="F367" s="68" t="n">
        <v>14359</v>
      </c>
      <c r="G367" s="68" t="n">
        <v>27977</v>
      </c>
      <c r="H367" s="68" t="n">
        <v>135.39</v>
      </c>
      <c r="I367" s="68" t="n">
        <v>51.1</v>
      </c>
      <c r="J367" s="68" t="n">
        <v>2.12</v>
      </c>
      <c r="K367" s="68"/>
    </row>
    <row r="368" customFormat="false" ht="14.25" hidden="false" customHeight="true" outlineLevel="0" collapsed="false">
      <c r="A368" s="68" t="s">
        <v>46</v>
      </c>
      <c r="B368" s="68" t="s">
        <v>47</v>
      </c>
      <c r="C368" s="68" t="n">
        <v>2021</v>
      </c>
      <c r="D368" s="68" t="s">
        <v>797</v>
      </c>
      <c r="E368" s="68" t="s">
        <v>804</v>
      </c>
      <c r="F368" s="68" t="n">
        <v>806</v>
      </c>
      <c r="G368" s="68" t="n">
        <v>6590</v>
      </c>
      <c r="H368" s="68" t="n">
        <v>66.7</v>
      </c>
      <c r="I368" s="68"/>
      <c r="J368" s="68" t="n">
        <v>2.48</v>
      </c>
      <c r="K368" s="68"/>
    </row>
    <row r="369" customFormat="false" ht="14.25" hidden="false" customHeight="true" outlineLevel="0" collapsed="false">
      <c r="A369" s="68" t="s">
        <v>31</v>
      </c>
      <c r="B369" s="68" t="s">
        <v>32</v>
      </c>
      <c r="C369" s="68" t="n">
        <v>2020</v>
      </c>
      <c r="D369" s="68" t="s">
        <v>805</v>
      </c>
      <c r="E369" s="68" t="s">
        <v>824</v>
      </c>
      <c r="F369" s="68" t="n">
        <v>347</v>
      </c>
      <c r="G369" s="68" t="n">
        <v>4960</v>
      </c>
      <c r="H369" s="68" t="n">
        <v>77.68</v>
      </c>
      <c r="I369" s="68" t="n">
        <v>30.2</v>
      </c>
      <c r="J369" s="68" t="n">
        <v>2.46</v>
      </c>
      <c r="K369" s="68"/>
    </row>
    <row r="370" customFormat="false" ht="14.25" hidden="false" customHeight="true" outlineLevel="0" collapsed="false">
      <c r="A370" s="68" t="s">
        <v>46</v>
      </c>
      <c r="B370" s="68" t="s">
        <v>47</v>
      </c>
      <c r="C370" s="68" t="n">
        <v>2022</v>
      </c>
      <c r="D370" s="68" t="s">
        <v>801</v>
      </c>
      <c r="E370" s="68" t="s">
        <v>803</v>
      </c>
      <c r="F370" s="68" t="n">
        <v>6089</v>
      </c>
      <c r="G370" s="68" t="n">
        <v>14423</v>
      </c>
      <c r="H370" s="68" t="n">
        <v>94.7</v>
      </c>
      <c r="I370" s="68" t="n">
        <v>48.8</v>
      </c>
      <c r="J370" s="68" t="n">
        <v>2.36</v>
      </c>
      <c r="K370" s="68"/>
    </row>
    <row r="371" customFormat="false" ht="14.25" hidden="false" customHeight="true" outlineLevel="0" collapsed="false">
      <c r="A371" s="68" t="s">
        <v>55</v>
      </c>
      <c r="B371" s="68" t="s">
        <v>56</v>
      </c>
      <c r="C371" s="68" t="n">
        <v>2020</v>
      </c>
      <c r="D371" s="68" t="s">
        <v>797</v>
      </c>
      <c r="E371" s="68" t="s">
        <v>813</v>
      </c>
      <c r="F371" s="68" t="n">
        <v>5559</v>
      </c>
      <c r="G371" s="68" t="n">
        <v>20817</v>
      </c>
      <c r="H371" s="68" t="n">
        <v>77.07</v>
      </c>
      <c r="I371" s="68" t="n">
        <v>52.5</v>
      </c>
      <c r="J371" s="68" t="n">
        <v>2.61</v>
      </c>
      <c r="K371" s="68"/>
    </row>
    <row r="372" customFormat="false" ht="14.25" hidden="false" customHeight="true" outlineLevel="0" collapsed="false">
      <c r="A372" s="68" t="s">
        <v>27</v>
      </c>
      <c r="B372" s="68" t="s">
        <v>28</v>
      </c>
      <c r="C372" s="68" t="n">
        <v>2025</v>
      </c>
      <c r="D372" s="68" t="s">
        <v>797</v>
      </c>
      <c r="E372" s="68" t="s">
        <v>302</v>
      </c>
      <c r="F372" s="68" t="n">
        <v>14216</v>
      </c>
      <c r="G372" s="68" t="n">
        <v>34221</v>
      </c>
      <c r="H372" s="68" t="n">
        <v>117.52</v>
      </c>
      <c r="I372" s="68" t="n">
        <v>57.3</v>
      </c>
      <c r="J372" s="68" t="n">
        <v>2.41</v>
      </c>
      <c r="K372" s="68"/>
    </row>
    <row r="373" customFormat="false" ht="14.25" hidden="false" customHeight="true" outlineLevel="0" collapsed="false">
      <c r="A373" s="68" t="s">
        <v>61</v>
      </c>
      <c r="B373" s="68" t="s">
        <v>62</v>
      </c>
      <c r="C373" s="68" t="n">
        <v>2025</v>
      </c>
      <c r="D373" s="68" t="s">
        <v>797</v>
      </c>
      <c r="E373" s="68" t="s">
        <v>302</v>
      </c>
      <c r="F373" s="68" t="n">
        <v>24367</v>
      </c>
      <c r="G373" s="68" t="n">
        <v>51022</v>
      </c>
      <c r="H373" s="68" t="n">
        <v>125.06</v>
      </c>
      <c r="I373" s="68" t="n">
        <v>56.5</v>
      </c>
      <c r="J373" s="68" t="n">
        <v>2.72</v>
      </c>
      <c r="K373" s="68"/>
    </row>
    <row r="374" customFormat="false" ht="14.25" hidden="false" customHeight="true" outlineLevel="0" collapsed="false">
      <c r="A374" s="68" t="s">
        <v>35</v>
      </c>
      <c r="B374" s="68" t="s">
        <v>36</v>
      </c>
      <c r="C374" s="68" t="n">
        <v>2023</v>
      </c>
      <c r="D374" s="68" t="s">
        <v>797</v>
      </c>
      <c r="E374" s="68" t="s">
        <v>820</v>
      </c>
      <c r="F374" s="68" t="n">
        <v>12221</v>
      </c>
      <c r="G374" s="68" t="n">
        <v>26965</v>
      </c>
      <c r="H374" s="68" t="n">
        <v>124.3</v>
      </c>
      <c r="I374" s="68" t="n">
        <v>67.4</v>
      </c>
      <c r="J374" s="68" t="n">
        <v>2.6</v>
      </c>
      <c r="K374" s="68"/>
    </row>
    <row r="375" customFormat="false" ht="14.25" hidden="false" customHeight="true" outlineLevel="0" collapsed="false">
      <c r="A375" s="68" t="s">
        <v>64</v>
      </c>
      <c r="B375" s="68" t="s">
        <v>65</v>
      </c>
      <c r="C375" s="68" t="n">
        <v>2020</v>
      </c>
      <c r="D375" s="68" t="s">
        <v>798</v>
      </c>
      <c r="E375" s="68" t="s">
        <v>816</v>
      </c>
      <c r="F375" s="68" t="n">
        <v>50</v>
      </c>
      <c r="G375" s="68" t="n">
        <v>702</v>
      </c>
      <c r="H375" s="68" t="n">
        <v>104.91</v>
      </c>
      <c r="I375" s="68" t="n">
        <v>32.2</v>
      </c>
      <c r="J375" s="68" t="n">
        <v>3.55</v>
      </c>
      <c r="K375" s="68"/>
    </row>
    <row r="376" customFormat="false" ht="14.25" hidden="false" customHeight="true" outlineLevel="0" collapsed="false">
      <c r="A376" s="68" t="s">
        <v>22</v>
      </c>
      <c r="B376" s="68" t="s">
        <v>23</v>
      </c>
      <c r="C376" s="68" t="n">
        <v>2019</v>
      </c>
      <c r="D376" s="68" t="s">
        <v>798</v>
      </c>
      <c r="E376" s="68" t="s">
        <v>799</v>
      </c>
      <c r="F376" s="68" t="n">
        <v>3370</v>
      </c>
      <c r="G376" s="68" t="n">
        <v>9500</v>
      </c>
      <c r="H376" s="68" t="n">
        <v>87.88</v>
      </c>
      <c r="I376" s="68" t="n">
        <v>51.6</v>
      </c>
      <c r="J376" s="68" t="n">
        <v>2.38</v>
      </c>
      <c r="K376" s="68"/>
    </row>
    <row r="377" customFormat="false" ht="14.25" hidden="false" customHeight="true" outlineLevel="0" collapsed="false">
      <c r="A377" s="68" t="s">
        <v>67</v>
      </c>
      <c r="B377" s="68" t="s">
        <v>68</v>
      </c>
      <c r="C377" s="68" t="n">
        <v>2023</v>
      </c>
      <c r="D377" s="68" t="s">
        <v>801</v>
      </c>
      <c r="E377" s="68" t="s">
        <v>802</v>
      </c>
      <c r="F377" s="68" t="n">
        <v>7411</v>
      </c>
      <c r="G377" s="68" t="n">
        <v>20332</v>
      </c>
      <c r="H377" s="68" t="n">
        <v>195.93</v>
      </c>
      <c r="I377" s="68" t="n">
        <v>49.1</v>
      </c>
      <c r="J377" s="68" t="n">
        <v>3.78</v>
      </c>
      <c r="K377" s="68"/>
    </row>
    <row r="378" customFormat="false" ht="14.25" hidden="false" customHeight="true" outlineLevel="0" collapsed="false">
      <c r="A378" s="68" t="s">
        <v>27</v>
      </c>
      <c r="B378" s="68" t="s">
        <v>28</v>
      </c>
      <c r="C378" s="68" t="n">
        <v>2020</v>
      </c>
      <c r="D378" s="68" t="s">
        <v>797</v>
      </c>
      <c r="E378" s="68" t="s">
        <v>813</v>
      </c>
      <c r="F378" s="68" t="n">
        <v>6692</v>
      </c>
      <c r="G378" s="68" t="n">
        <v>20977</v>
      </c>
      <c r="H378" s="68" t="n">
        <v>90.17</v>
      </c>
      <c r="I378" s="68" t="n">
        <v>48.1</v>
      </c>
      <c r="J378" s="68" t="n">
        <v>2.73</v>
      </c>
      <c r="K378" s="68"/>
    </row>
    <row r="379" customFormat="false" ht="14.25" hidden="false" customHeight="true" outlineLevel="0" collapsed="false">
      <c r="A379" s="68" t="s">
        <v>39</v>
      </c>
      <c r="B379" s="68" t="s">
        <v>40</v>
      </c>
      <c r="C379" s="68" t="n">
        <v>2020</v>
      </c>
      <c r="D379" s="68" t="s">
        <v>798</v>
      </c>
      <c r="E379" s="68" t="s">
        <v>816</v>
      </c>
      <c r="F379" s="68" t="n">
        <v>681</v>
      </c>
      <c r="G379" s="68" t="n">
        <v>10042</v>
      </c>
      <c r="H379" s="68" t="n">
        <v>96.2</v>
      </c>
      <c r="I379" s="68" t="n">
        <v>33.3</v>
      </c>
      <c r="J379" s="68" t="n">
        <v>2.17</v>
      </c>
      <c r="K379" s="68"/>
    </row>
    <row r="380" customFormat="false" ht="14.25" hidden="false" customHeight="true" outlineLevel="0" collapsed="false">
      <c r="A380" s="68" t="s">
        <v>46</v>
      </c>
      <c r="B380" s="68" t="s">
        <v>47</v>
      </c>
      <c r="C380" s="68" t="n">
        <v>2020</v>
      </c>
      <c r="D380" s="68" t="s">
        <v>805</v>
      </c>
      <c r="E380" s="68" t="s">
        <v>824</v>
      </c>
      <c r="F380" s="68" t="n">
        <v>250</v>
      </c>
      <c r="G380" s="68" t="n">
        <v>4757</v>
      </c>
      <c r="H380" s="68" t="n">
        <v>73.23</v>
      </c>
      <c r="I380" s="68" t="n">
        <v>29.3</v>
      </c>
      <c r="J380" s="68" t="n">
        <v>2.44</v>
      </c>
      <c r="K380" s="68"/>
    </row>
    <row r="381" customFormat="false" ht="14.25" hidden="false" customHeight="true" outlineLevel="0" collapsed="false">
      <c r="A381" s="68" t="s">
        <v>16</v>
      </c>
      <c r="B381" s="68" t="s">
        <v>17</v>
      </c>
      <c r="C381" s="68" t="n">
        <v>2021</v>
      </c>
      <c r="D381" s="68" t="s">
        <v>797</v>
      </c>
      <c r="E381" s="68" t="s">
        <v>804</v>
      </c>
      <c r="F381" s="68" t="n">
        <v>753</v>
      </c>
      <c r="G381" s="68" t="n">
        <v>8114</v>
      </c>
      <c r="H381" s="68" t="n">
        <v>67.35</v>
      </c>
      <c r="I381" s="68" t="n">
        <v>37.7</v>
      </c>
      <c r="J381" s="68" t="n">
        <v>2.53</v>
      </c>
      <c r="K381" s="68"/>
    </row>
    <row r="382" customFormat="false" ht="14.25" hidden="false" customHeight="true" outlineLevel="0" collapsed="false">
      <c r="A382" s="68" t="s">
        <v>64</v>
      </c>
      <c r="B382" s="68" t="s">
        <v>65</v>
      </c>
      <c r="C382" s="68" t="n">
        <v>2023</v>
      </c>
      <c r="D382" s="68" t="s">
        <v>805</v>
      </c>
      <c r="E382" s="68" t="s">
        <v>809</v>
      </c>
      <c r="F382" s="68" t="n">
        <v>1531</v>
      </c>
      <c r="G382" s="68" t="n">
        <v>3506</v>
      </c>
      <c r="H382" s="68" t="n">
        <v>150.14</v>
      </c>
      <c r="I382" s="68" t="n">
        <v>37.1</v>
      </c>
      <c r="J382" s="68" t="n">
        <v>3.37</v>
      </c>
      <c r="K382" s="68"/>
    </row>
    <row r="383" customFormat="false" ht="14.25" hidden="false" customHeight="true" outlineLevel="0" collapsed="false">
      <c r="A383" s="68" t="s">
        <v>61</v>
      </c>
      <c r="B383" s="68" t="s">
        <v>62</v>
      </c>
      <c r="C383" s="68" t="n">
        <v>2019</v>
      </c>
      <c r="D383" s="68" t="s">
        <v>805</v>
      </c>
      <c r="E383" s="68" t="s">
        <v>817</v>
      </c>
      <c r="F383" s="68" t="n">
        <v>9749</v>
      </c>
      <c r="G383" s="68" t="n">
        <v>24498</v>
      </c>
      <c r="H383" s="68" t="n">
        <v>97.5</v>
      </c>
      <c r="I383" s="68" t="n">
        <v>56.5</v>
      </c>
      <c r="J383" s="68" t="n">
        <v>2.31</v>
      </c>
      <c r="K383" s="68"/>
    </row>
    <row r="384" customFormat="false" ht="14.25" hidden="false" customHeight="true" outlineLevel="0" collapsed="false">
      <c r="A384" s="68" t="s">
        <v>42</v>
      </c>
      <c r="B384" s="68" t="s">
        <v>43</v>
      </c>
      <c r="C384" s="68" t="n">
        <v>2024</v>
      </c>
      <c r="D384" s="68" t="s">
        <v>797</v>
      </c>
      <c r="E384" s="68" t="s">
        <v>821</v>
      </c>
      <c r="F384" s="68" t="n">
        <v>54878</v>
      </c>
      <c r="G384" s="68" t="n">
        <v>91847</v>
      </c>
      <c r="H384" s="68" t="n">
        <v>161.71</v>
      </c>
      <c r="I384" s="68" t="n">
        <v>84</v>
      </c>
      <c r="J384" s="68" t="n">
        <v>2.44</v>
      </c>
      <c r="K384" s="68"/>
    </row>
    <row r="385" customFormat="false" ht="14.25" hidden="false" customHeight="true" outlineLevel="0" collapsed="false">
      <c r="A385" s="68" t="s">
        <v>67</v>
      </c>
      <c r="B385" s="68" t="s">
        <v>68</v>
      </c>
      <c r="C385" s="68" t="n">
        <v>2020</v>
      </c>
      <c r="D385" s="68" t="s">
        <v>805</v>
      </c>
      <c r="E385" s="68" t="s">
        <v>824</v>
      </c>
      <c r="F385" s="68" t="n">
        <v>191</v>
      </c>
      <c r="G385" s="68" t="n">
        <v>2977</v>
      </c>
      <c r="H385" s="68" t="n">
        <v>129.51</v>
      </c>
      <c r="I385" s="68" t="n">
        <v>30.2</v>
      </c>
      <c r="J385" s="68" t="n">
        <v>3.33</v>
      </c>
      <c r="K385" s="68"/>
    </row>
    <row r="386" customFormat="false" ht="14.25" hidden="false" customHeight="true" outlineLevel="0" collapsed="false">
      <c r="A386" s="68" t="s">
        <v>35</v>
      </c>
      <c r="B386" s="68" t="s">
        <v>36</v>
      </c>
      <c r="C386" s="68" t="n">
        <v>2023</v>
      </c>
      <c r="D386" s="68" t="s">
        <v>805</v>
      </c>
      <c r="E386" s="68" t="s">
        <v>809</v>
      </c>
      <c r="F386" s="68" t="n">
        <v>8636</v>
      </c>
      <c r="G386" s="68" t="n">
        <v>21163</v>
      </c>
      <c r="H386" s="68" t="n">
        <v>114.56</v>
      </c>
      <c r="I386" s="68" t="n">
        <v>57.6</v>
      </c>
      <c r="J386" s="68" t="n">
        <v>2.39</v>
      </c>
      <c r="K386" s="68"/>
    </row>
    <row r="387" customFormat="false" ht="14.25" hidden="false" customHeight="true" outlineLevel="0" collapsed="false">
      <c r="A387" s="68" t="s">
        <v>35</v>
      </c>
      <c r="B387" s="68" t="s">
        <v>36</v>
      </c>
      <c r="C387" s="68" t="n">
        <v>2022</v>
      </c>
      <c r="D387" s="68" t="s">
        <v>805</v>
      </c>
      <c r="E387" s="68" t="s">
        <v>819</v>
      </c>
      <c r="F387" s="68" t="n">
        <v>5150</v>
      </c>
      <c r="G387" s="68" t="n">
        <v>14526</v>
      </c>
      <c r="H387" s="68" t="n">
        <v>97.46</v>
      </c>
      <c r="I387" s="68" t="n">
        <v>54.4</v>
      </c>
      <c r="J387" s="68" t="n">
        <v>2.35</v>
      </c>
      <c r="K387" s="68"/>
    </row>
    <row r="388" customFormat="false" ht="14.25" hidden="false" customHeight="true" outlineLevel="0" collapsed="false">
      <c r="A388" s="68" t="s">
        <v>55</v>
      </c>
      <c r="B388" s="68" t="s">
        <v>56</v>
      </c>
      <c r="C388" s="68" t="n">
        <v>2025</v>
      </c>
      <c r="D388" s="68" t="s">
        <v>797</v>
      </c>
      <c r="E388" s="68" t="s">
        <v>302</v>
      </c>
      <c r="F388" s="68" t="n">
        <v>18027</v>
      </c>
      <c r="G388" s="68" t="n">
        <v>36862</v>
      </c>
      <c r="H388" s="68" t="n">
        <v>99.44</v>
      </c>
      <c r="I388" s="68"/>
      <c r="J388" s="68" t="n">
        <v>2.55</v>
      </c>
      <c r="K388" s="68"/>
    </row>
    <row r="389" customFormat="false" ht="14.25" hidden="false" customHeight="true" outlineLevel="0" collapsed="false">
      <c r="A389" s="68" t="s">
        <v>61</v>
      </c>
      <c r="B389" s="68" t="s">
        <v>62</v>
      </c>
      <c r="C389" s="68" t="n">
        <v>2020</v>
      </c>
      <c r="D389" s="68" t="s">
        <v>797</v>
      </c>
      <c r="E389" s="68" t="s">
        <v>813</v>
      </c>
      <c r="F389" s="68" t="n">
        <v>9896</v>
      </c>
      <c r="G389" s="68" t="n">
        <v>30927</v>
      </c>
      <c r="H389" s="68" t="n">
        <v>83.76</v>
      </c>
      <c r="I389" s="68" t="n">
        <v>52.5</v>
      </c>
      <c r="J389" s="68" t="n">
        <v>2.47</v>
      </c>
      <c r="K389" s="68"/>
    </row>
    <row r="390" customFormat="false" ht="14.25" hidden="false" customHeight="true" outlineLevel="0" collapsed="false">
      <c r="A390" s="68" t="s">
        <v>35</v>
      </c>
      <c r="B390" s="68" t="s">
        <v>36</v>
      </c>
      <c r="C390" s="68" t="n">
        <v>2024</v>
      </c>
      <c r="D390" s="68" t="s">
        <v>801</v>
      </c>
      <c r="E390" s="68" t="s">
        <v>301</v>
      </c>
      <c r="F390" s="68" t="n">
        <v>12639</v>
      </c>
      <c r="G390" s="68" t="n">
        <v>22956</v>
      </c>
      <c r="H390" s="68" t="n">
        <v>142.42</v>
      </c>
      <c r="I390" s="68" t="n">
        <v>70.5</v>
      </c>
      <c r="J390" s="68" t="n">
        <v>2.34</v>
      </c>
      <c r="K390" s="68"/>
    </row>
    <row r="391" customFormat="false" ht="14.25" hidden="false" customHeight="true" outlineLevel="0" collapsed="false">
      <c r="A391" s="68" t="s">
        <v>16</v>
      </c>
      <c r="B391" s="68" t="s">
        <v>17</v>
      </c>
      <c r="C391" s="68" t="n">
        <v>2021</v>
      </c>
      <c r="D391" s="68" t="s">
        <v>805</v>
      </c>
      <c r="E391" s="68" t="s">
        <v>806</v>
      </c>
      <c r="F391" s="68" t="n">
        <v>580</v>
      </c>
      <c r="G391" s="68" t="n">
        <v>4831</v>
      </c>
      <c r="H391" s="68" t="n">
        <v>67.28</v>
      </c>
      <c r="I391" s="68" t="n">
        <v>36.1</v>
      </c>
      <c r="J391" s="68" t="n">
        <v>2.4</v>
      </c>
      <c r="K391" s="68"/>
    </row>
    <row r="392" customFormat="false" ht="14.25" hidden="false" customHeight="true" outlineLevel="0" collapsed="false">
      <c r="A392" s="68" t="s">
        <v>55</v>
      </c>
      <c r="B392" s="68" t="s">
        <v>56</v>
      </c>
      <c r="C392" s="68" t="n">
        <v>2024</v>
      </c>
      <c r="D392" s="68" t="s">
        <v>798</v>
      </c>
      <c r="E392" s="68" t="s">
        <v>808</v>
      </c>
      <c r="F392" s="68" t="n">
        <v>8935</v>
      </c>
      <c r="G392" s="68" t="n">
        <v>18300</v>
      </c>
      <c r="H392" s="68" t="n">
        <v>102.4</v>
      </c>
      <c r="I392" s="68" t="n">
        <v>43.1</v>
      </c>
      <c r="J392" s="68" t="n">
        <v>2.27</v>
      </c>
      <c r="K392" s="68"/>
    </row>
    <row r="393" customFormat="false" ht="14.25" hidden="false" customHeight="true" outlineLevel="0" collapsed="false">
      <c r="A393" s="68" t="s">
        <v>57</v>
      </c>
      <c r="B393" s="68" t="s">
        <v>58</v>
      </c>
      <c r="C393" s="68" t="n">
        <v>2023</v>
      </c>
      <c r="D393" s="68" t="s">
        <v>805</v>
      </c>
      <c r="E393" s="68" t="s">
        <v>809</v>
      </c>
      <c r="F393" s="68" t="n">
        <v>7161</v>
      </c>
      <c r="G393" s="68" t="n">
        <v>12494</v>
      </c>
      <c r="H393" s="68" t="n">
        <v>101.52</v>
      </c>
      <c r="I393" s="68" t="n">
        <v>56.2</v>
      </c>
      <c r="J393" s="68" t="n">
        <v>2.37</v>
      </c>
      <c r="K393" s="68"/>
    </row>
    <row r="394" customFormat="false" ht="14.25" hidden="false" customHeight="true" outlineLevel="0" collapsed="false">
      <c r="A394" s="68" t="s">
        <v>67</v>
      </c>
      <c r="B394" s="68" t="s">
        <v>68</v>
      </c>
      <c r="C394" s="68" t="n">
        <v>2021</v>
      </c>
      <c r="D394" s="68" t="s">
        <v>798</v>
      </c>
      <c r="E394" s="68" t="s">
        <v>818</v>
      </c>
      <c r="F394" s="68" t="n">
        <v>587</v>
      </c>
      <c r="G394" s="68" t="n">
        <v>2388</v>
      </c>
      <c r="H394" s="68" t="n">
        <v>142.78</v>
      </c>
      <c r="I394" s="68" t="n">
        <v>33.4</v>
      </c>
      <c r="J394" s="68" t="n">
        <v>3.21</v>
      </c>
      <c r="K394" s="68"/>
    </row>
    <row r="395" customFormat="false" ht="14.25" hidden="false" customHeight="true" outlineLevel="0" collapsed="false">
      <c r="A395" s="68" t="s">
        <v>53</v>
      </c>
      <c r="B395" s="68" t="s">
        <v>54</v>
      </c>
      <c r="C395" s="68" t="n">
        <v>2020</v>
      </c>
      <c r="D395" s="68" t="s">
        <v>801</v>
      </c>
      <c r="E395" s="68" t="s">
        <v>810</v>
      </c>
      <c r="F395" s="68" t="n">
        <v>567</v>
      </c>
      <c r="G395" s="68" t="n">
        <v>8564</v>
      </c>
      <c r="H395" s="68" t="n">
        <v>84.02</v>
      </c>
      <c r="I395" s="68" t="n">
        <v>34.2</v>
      </c>
      <c r="J395" s="68" t="n">
        <v>2.4</v>
      </c>
      <c r="K395" s="68"/>
    </row>
    <row r="396" customFormat="false" ht="14.25" hidden="false" customHeight="true" outlineLevel="0" collapsed="false">
      <c r="A396" s="68" t="s">
        <v>50</v>
      </c>
      <c r="B396" s="68" t="s">
        <v>51</v>
      </c>
      <c r="C396" s="68" t="n">
        <v>2025</v>
      </c>
      <c r="D396" s="68" t="s">
        <v>798</v>
      </c>
      <c r="E396" s="68" t="s">
        <v>304</v>
      </c>
      <c r="F396" s="68" t="n">
        <v>5589</v>
      </c>
      <c r="G396" s="68" t="n">
        <v>13897</v>
      </c>
      <c r="H396" s="68" t="n">
        <v>160.62</v>
      </c>
      <c r="I396" s="68" t="n">
        <v>59</v>
      </c>
      <c r="J396" s="68" t="n">
        <v>2.22</v>
      </c>
      <c r="K396" s="68"/>
    </row>
    <row r="397" customFormat="false" ht="14.25" hidden="false" customHeight="true" outlineLevel="0" collapsed="false">
      <c r="A397" s="68" t="s">
        <v>16</v>
      </c>
      <c r="B397" s="68" t="s">
        <v>17</v>
      </c>
      <c r="C397" s="68" t="n">
        <v>2020</v>
      </c>
      <c r="D397" s="68" t="s">
        <v>798</v>
      </c>
      <c r="E397" s="68" t="s">
        <v>816</v>
      </c>
      <c r="F397" s="68" t="n">
        <v>217</v>
      </c>
      <c r="G397" s="68" t="n">
        <v>3067</v>
      </c>
      <c r="H397" s="68" t="n">
        <v>64.59</v>
      </c>
      <c r="I397" s="68" t="n">
        <v>31.6</v>
      </c>
      <c r="J397" s="68" t="n">
        <v>2.09</v>
      </c>
      <c r="K397" s="68"/>
    </row>
    <row r="398" customFormat="false" ht="14.25" hidden="false" customHeight="true" outlineLevel="0" collapsed="false">
      <c r="A398" s="68" t="s">
        <v>61</v>
      </c>
      <c r="B398" s="68" t="s">
        <v>62</v>
      </c>
      <c r="C398" s="68" t="n">
        <v>2020</v>
      </c>
      <c r="D398" s="68" t="s">
        <v>798</v>
      </c>
      <c r="E398" s="68" t="s">
        <v>816</v>
      </c>
      <c r="F398" s="68" t="n">
        <v>444</v>
      </c>
      <c r="G398" s="68" t="n">
        <v>7302</v>
      </c>
      <c r="H398" s="68" t="n">
        <v>78.05</v>
      </c>
      <c r="I398" s="68" t="n">
        <v>31.7</v>
      </c>
      <c r="J398" s="68" t="n">
        <v>2.23</v>
      </c>
      <c r="K398" s="68"/>
    </row>
    <row r="399" customFormat="false" ht="14.25" hidden="false" customHeight="true" outlineLevel="0" collapsed="false">
      <c r="A399" s="68" t="s">
        <v>57</v>
      </c>
      <c r="B399" s="68" t="s">
        <v>58</v>
      </c>
      <c r="C399" s="68" t="n">
        <v>2025</v>
      </c>
      <c r="D399" s="68" t="s">
        <v>805</v>
      </c>
      <c r="E399" s="68" t="s">
        <v>303</v>
      </c>
      <c r="F399" s="68" t="n">
        <v>6900</v>
      </c>
      <c r="G399" s="68" t="n">
        <v>16234</v>
      </c>
      <c r="H399" s="68" t="n">
        <v>116.32</v>
      </c>
      <c r="I399" s="68" t="n">
        <v>49.3</v>
      </c>
      <c r="J399" s="68" t="n">
        <v>2.1</v>
      </c>
      <c r="K399" s="68"/>
    </row>
    <row r="400" customFormat="false" ht="14.25" hidden="false" customHeight="true" outlineLevel="0" collapsed="false">
      <c r="A400" s="68" t="s">
        <v>46</v>
      </c>
      <c r="B400" s="68" t="s">
        <v>47</v>
      </c>
      <c r="C400" s="68" t="n">
        <v>2020</v>
      </c>
      <c r="D400" s="68" t="s">
        <v>801</v>
      </c>
      <c r="E400" s="68" t="s">
        <v>810</v>
      </c>
      <c r="F400" s="68" t="n">
        <v>338</v>
      </c>
      <c r="G400" s="68" t="n">
        <v>6327</v>
      </c>
      <c r="H400" s="68" t="n">
        <v>72.81</v>
      </c>
      <c r="I400" s="68" t="n">
        <v>32.6</v>
      </c>
      <c r="J400" s="68" t="n">
        <v>2.62</v>
      </c>
      <c r="K400" s="68"/>
    </row>
    <row r="401" customFormat="false" ht="14.25" hidden="false" customHeight="true" outlineLevel="0" collapsed="false">
      <c r="A401" s="68" t="s">
        <v>67</v>
      </c>
      <c r="B401" s="68" t="s">
        <v>68</v>
      </c>
      <c r="C401" s="68" t="n">
        <v>2025</v>
      </c>
      <c r="D401" s="68" t="s">
        <v>797</v>
      </c>
      <c r="E401" s="68" t="s">
        <v>302</v>
      </c>
      <c r="F401" s="68" t="n">
        <v>16204</v>
      </c>
      <c r="G401" s="68" t="n">
        <v>33537</v>
      </c>
      <c r="H401" s="68" t="n">
        <v>193.38</v>
      </c>
      <c r="I401" s="68" t="n">
        <v>74.8</v>
      </c>
      <c r="J401" s="68" t="n">
        <v>4.64</v>
      </c>
      <c r="K401" s="68"/>
    </row>
    <row r="402" customFormat="false" ht="14.25" hidden="false" customHeight="true" outlineLevel="0" collapsed="false">
      <c r="A402" s="68" t="s">
        <v>64</v>
      </c>
      <c r="B402" s="68" t="s">
        <v>65</v>
      </c>
      <c r="C402" s="68" t="n">
        <v>2020</v>
      </c>
      <c r="D402" s="68" t="s">
        <v>797</v>
      </c>
      <c r="E402" s="68" t="s">
        <v>813</v>
      </c>
      <c r="F402" s="68"/>
      <c r="G402" s="68" t="n">
        <v>9425</v>
      </c>
      <c r="H402" s="68" t="n">
        <v>132.34</v>
      </c>
      <c r="I402" s="68" t="n">
        <v>53.2</v>
      </c>
      <c r="J402" s="68" t="n">
        <v>3.94</v>
      </c>
      <c r="K402" s="68" t="s">
        <v>827</v>
      </c>
    </row>
    <row r="403" customFormat="false" ht="14.25" hidden="false" customHeight="true" outlineLevel="0" collapsed="false">
      <c r="A403" s="68" t="s">
        <v>64</v>
      </c>
      <c r="B403" s="68" t="s">
        <v>65</v>
      </c>
      <c r="C403" s="68" t="n">
        <v>2021</v>
      </c>
      <c r="D403" s="68" t="s">
        <v>797</v>
      </c>
      <c r="E403" s="68" t="s">
        <v>804</v>
      </c>
      <c r="F403" s="68" t="n">
        <v>930</v>
      </c>
      <c r="G403" s="68" t="n">
        <v>5985</v>
      </c>
      <c r="H403" s="68" t="n">
        <v>111.84</v>
      </c>
      <c r="I403" s="68" t="n">
        <v>36.8</v>
      </c>
      <c r="J403" s="68" t="n">
        <v>4.59</v>
      </c>
      <c r="K403" s="68"/>
    </row>
    <row r="404" customFormat="false" ht="14.25" hidden="false" customHeight="true" outlineLevel="0" collapsed="false">
      <c r="A404" s="68" t="s">
        <v>46</v>
      </c>
      <c r="B404" s="68" t="s">
        <v>47</v>
      </c>
      <c r="C404" s="68" t="n">
        <v>2019</v>
      </c>
      <c r="D404" s="68" t="s">
        <v>798</v>
      </c>
      <c r="E404" s="68" t="s">
        <v>799</v>
      </c>
      <c r="F404" s="68" t="n">
        <v>3806</v>
      </c>
      <c r="G404" s="68" t="n">
        <v>7752</v>
      </c>
      <c r="H404" s="68" t="n">
        <v>95.49</v>
      </c>
      <c r="I404" s="68" t="n">
        <v>44.6</v>
      </c>
      <c r="J404" s="68" t="n">
        <v>2.13</v>
      </c>
      <c r="K404" s="68"/>
    </row>
    <row r="405" customFormat="false" ht="14.25" hidden="false" customHeight="true" outlineLevel="0" collapsed="false">
      <c r="A405" s="68" t="s">
        <v>39</v>
      </c>
      <c r="B405" s="68" t="s">
        <v>40</v>
      </c>
      <c r="C405" s="68" t="n">
        <v>2025</v>
      </c>
      <c r="D405" s="68" t="s">
        <v>797</v>
      </c>
      <c r="E405" s="68" t="s">
        <v>302</v>
      </c>
      <c r="F405" s="68" t="n">
        <v>26881</v>
      </c>
      <c r="G405" s="68" t="n">
        <v>59336</v>
      </c>
      <c r="H405" s="68" t="n">
        <v>131.27</v>
      </c>
      <c r="I405" s="68" t="n">
        <v>86.2</v>
      </c>
      <c r="J405" s="68" t="n">
        <v>2.48</v>
      </c>
      <c r="K405" s="68"/>
    </row>
    <row r="406" customFormat="false" ht="14.25" hidden="false" customHeight="true" outlineLevel="0" collapsed="false">
      <c r="A406" s="68" t="s">
        <v>22</v>
      </c>
      <c r="B406" s="68" t="s">
        <v>23</v>
      </c>
      <c r="C406" s="68" t="n">
        <v>2019</v>
      </c>
      <c r="D406" s="68" t="s">
        <v>805</v>
      </c>
      <c r="E406" s="68" t="s">
        <v>817</v>
      </c>
      <c r="F406" s="68" t="n">
        <v>4552</v>
      </c>
      <c r="G406" s="68" t="n">
        <v>11761</v>
      </c>
      <c r="H406" s="68" t="n">
        <v>98.38</v>
      </c>
      <c r="I406" s="68" t="n">
        <v>51.4</v>
      </c>
      <c r="J406" s="68" t="n">
        <v>2.1</v>
      </c>
      <c r="K406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12" min="3" style="1" width="14"/>
    <col collapsed="false" customWidth="true" hidden="false" outlineLevel="0" max="26" min="13" style="1" width="16"/>
  </cols>
  <sheetData>
    <row r="1" customFormat="false" ht="33.75" hidden="false" customHeight="true" outlineLevel="0" collapsed="false">
      <c r="A1" s="5" t="s">
        <v>575</v>
      </c>
      <c r="B1" s="5" t="s">
        <v>576</v>
      </c>
      <c r="C1" s="5" t="s">
        <v>828</v>
      </c>
      <c r="D1" s="5" t="s">
        <v>829</v>
      </c>
      <c r="E1" s="5" t="s">
        <v>830</v>
      </c>
      <c r="F1" s="5" t="s">
        <v>831</v>
      </c>
      <c r="G1" s="5" t="s">
        <v>832</v>
      </c>
      <c r="H1" s="5" t="s">
        <v>833</v>
      </c>
      <c r="I1" s="5" t="s">
        <v>834</v>
      </c>
      <c r="J1" s="5" t="s">
        <v>835</v>
      </c>
      <c r="K1" s="5" t="s">
        <v>836</v>
      </c>
      <c r="L1" s="5" t="s">
        <v>837</v>
      </c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16</v>
      </c>
      <c r="B2" s="68" t="s">
        <v>17</v>
      </c>
      <c r="C2" s="68" t="n">
        <v>2025</v>
      </c>
      <c r="D2" s="68" t="n">
        <v>46.6</v>
      </c>
      <c r="E2" s="68" t="n">
        <v>69.3</v>
      </c>
      <c r="F2" s="68" t="n">
        <v>36.3</v>
      </c>
      <c r="G2" s="68" t="n">
        <v>36.9</v>
      </c>
      <c r="H2" s="68" t="n">
        <v>2.72</v>
      </c>
      <c r="I2" s="68" t="n">
        <v>10</v>
      </c>
      <c r="J2" s="68" t="n">
        <v>1.57</v>
      </c>
      <c r="K2" s="68" t="n">
        <v>9</v>
      </c>
      <c r="L2" s="68" t="n">
        <v>5</v>
      </c>
    </row>
    <row r="3" customFormat="false" ht="14.25" hidden="false" customHeight="true" outlineLevel="0" collapsed="false">
      <c r="A3" s="68" t="s">
        <v>22</v>
      </c>
      <c r="B3" s="68" t="s">
        <v>23</v>
      </c>
      <c r="C3" s="68" t="n">
        <v>2025</v>
      </c>
      <c r="D3" s="68" t="n">
        <v>55.9</v>
      </c>
      <c r="E3" s="68" t="n">
        <v>68.1</v>
      </c>
      <c r="F3" s="68" t="n">
        <v>38.3</v>
      </c>
      <c r="G3" s="68" t="n">
        <v>42.6</v>
      </c>
      <c r="H3" s="68" t="n">
        <v>2.19</v>
      </c>
      <c r="I3" s="68" t="n">
        <v>16</v>
      </c>
      <c r="J3" s="68" t="n">
        <v>0.67</v>
      </c>
      <c r="K3" s="68" t="n">
        <v>13</v>
      </c>
      <c r="L3" s="68" t="n">
        <v>4.4</v>
      </c>
    </row>
    <row r="4" customFormat="false" ht="14.25" hidden="false" customHeight="true" outlineLevel="0" collapsed="false">
      <c r="A4" s="68" t="s">
        <v>27</v>
      </c>
      <c r="B4" s="68" t="s">
        <v>28</v>
      </c>
      <c r="C4" s="68" t="n">
        <v>2025</v>
      </c>
      <c r="D4" s="68" t="n">
        <v>59.1</v>
      </c>
      <c r="E4" s="68" t="n">
        <v>70.9</v>
      </c>
      <c r="F4" s="68" t="n">
        <v>50.4</v>
      </c>
      <c r="G4" s="68" t="n">
        <v>53.1</v>
      </c>
      <c r="H4" s="68" t="n">
        <v>2.77</v>
      </c>
      <c r="I4" s="68" t="n">
        <v>19</v>
      </c>
      <c r="J4" s="68" t="n">
        <v>3.67</v>
      </c>
      <c r="K4" s="68" t="n">
        <v>6</v>
      </c>
      <c r="L4" s="68" t="n">
        <v>5.5</v>
      </c>
    </row>
    <row r="5" customFormat="false" ht="14.25" hidden="false" customHeight="true" outlineLevel="0" collapsed="false">
      <c r="A5" s="68" t="s">
        <v>31</v>
      </c>
      <c r="B5" s="68" t="s">
        <v>32</v>
      </c>
      <c r="C5" s="68" t="n">
        <v>2025</v>
      </c>
      <c r="D5" s="68" t="n">
        <v>49.1</v>
      </c>
      <c r="E5" s="68" t="n">
        <v>66.5</v>
      </c>
      <c r="F5" s="68" t="n">
        <v>41.6</v>
      </c>
      <c r="G5" s="68" t="n">
        <v>48.5</v>
      </c>
      <c r="H5" s="68" t="n">
        <v>2.25</v>
      </c>
      <c r="I5" s="68" t="n">
        <v>9</v>
      </c>
      <c r="J5" s="68" t="n">
        <v>2.56</v>
      </c>
      <c r="K5" s="68" t="n">
        <v>11</v>
      </c>
      <c r="L5" s="68" t="n">
        <v>3.4</v>
      </c>
    </row>
    <row r="6" customFormat="false" ht="14.25" hidden="false" customHeight="true" outlineLevel="0" collapsed="false">
      <c r="A6" s="68" t="s">
        <v>35</v>
      </c>
      <c r="B6" s="68" t="s">
        <v>36</v>
      </c>
      <c r="C6" s="68" t="n">
        <v>2025</v>
      </c>
      <c r="D6" s="68" t="n">
        <v>61.7</v>
      </c>
      <c r="E6" s="68" t="n">
        <v>75.7</v>
      </c>
      <c r="F6" s="68" t="n">
        <v>47.1</v>
      </c>
      <c r="G6" s="68" t="n">
        <v>47.1</v>
      </c>
      <c r="H6" s="68" t="n">
        <v>3.18</v>
      </c>
      <c r="I6" s="68" t="n">
        <v>19</v>
      </c>
      <c r="J6" s="68" t="n">
        <v>4.65</v>
      </c>
      <c r="K6" s="68" t="n">
        <v>14</v>
      </c>
      <c r="L6" s="68" t="n">
        <v>4.2</v>
      </c>
    </row>
    <row r="7" customFormat="false" ht="14.25" hidden="false" customHeight="true" outlineLevel="0" collapsed="false">
      <c r="A7" s="68" t="s">
        <v>39</v>
      </c>
      <c r="B7" s="68" t="s">
        <v>40</v>
      </c>
      <c r="C7" s="68" t="n">
        <v>2025</v>
      </c>
      <c r="D7" s="68" t="n">
        <v>69.5</v>
      </c>
      <c r="E7" s="68" t="n">
        <v>74.2</v>
      </c>
      <c r="F7" s="68" t="n">
        <v>46.8</v>
      </c>
      <c r="G7" s="68" t="n">
        <v>46.8</v>
      </c>
      <c r="H7" s="68" t="n">
        <v>2.72</v>
      </c>
      <c r="I7" s="68" t="n">
        <v>23</v>
      </c>
      <c r="J7" s="68" t="n">
        <v>3.88</v>
      </c>
      <c r="K7" s="68" t="n">
        <v>17</v>
      </c>
      <c r="L7" s="68" t="n">
        <v>7.6</v>
      </c>
    </row>
    <row r="8" customFormat="false" ht="14.25" hidden="false" customHeight="true" outlineLevel="0" collapsed="false">
      <c r="A8" s="68" t="s">
        <v>42</v>
      </c>
      <c r="B8" s="68" t="s">
        <v>43</v>
      </c>
      <c r="C8" s="68" t="n">
        <v>2025</v>
      </c>
      <c r="D8" s="68" t="n">
        <v>73.9</v>
      </c>
      <c r="E8" s="68" t="n">
        <v>82.3</v>
      </c>
      <c r="F8" s="68" t="n">
        <v>56.2</v>
      </c>
      <c r="G8" s="68" t="n">
        <v>72.1</v>
      </c>
      <c r="H8" s="68" t="n">
        <v>3.58</v>
      </c>
      <c r="I8" s="68" t="n">
        <v>26</v>
      </c>
      <c r="J8" s="68" t="n">
        <v>6.74</v>
      </c>
      <c r="K8" s="68" t="n">
        <v>20</v>
      </c>
      <c r="L8" s="68" t="n">
        <v>7.7</v>
      </c>
    </row>
    <row r="9" customFormat="false" ht="14.25" hidden="false" customHeight="true" outlineLevel="0" collapsed="false">
      <c r="A9" s="68" t="s">
        <v>46</v>
      </c>
      <c r="B9" s="68" t="s">
        <v>47</v>
      </c>
      <c r="C9" s="68" t="n">
        <v>2025</v>
      </c>
      <c r="D9" s="68" t="n">
        <v>42.4</v>
      </c>
      <c r="E9" s="68" t="n">
        <v>66.2</v>
      </c>
      <c r="F9" s="68" t="n">
        <v>28.5</v>
      </c>
      <c r="G9" s="68" t="n">
        <v>40.3</v>
      </c>
      <c r="H9" s="68" t="n">
        <v>1.01</v>
      </c>
      <c r="I9" s="68" t="n">
        <v>14</v>
      </c>
      <c r="J9" s="68" t="n">
        <v>3.08</v>
      </c>
      <c r="K9" s="68" t="n">
        <v>10</v>
      </c>
      <c r="L9" s="68" t="n">
        <v>3.6</v>
      </c>
    </row>
    <row r="10" customFormat="false" ht="14.25" hidden="false" customHeight="true" outlineLevel="0" collapsed="false">
      <c r="A10" s="68" t="s">
        <v>50</v>
      </c>
      <c r="B10" s="68" t="s">
        <v>51</v>
      </c>
      <c r="C10" s="68" t="n">
        <v>2025</v>
      </c>
      <c r="D10" s="68" t="n">
        <v>67.6</v>
      </c>
      <c r="E10" s="68" t="n">
        <v>80.9</v>
      </c>
      <c r="F10" s="68" t="n">
        <v>44.7</v>
      </c>
      <c r="G10" s="68" t="n">
        <v>56.5</v>
      </c>
      <c r="H10" s="68" t="n">
        <v>2.72</v>
      </c>
      <c r="I10" s="68" t="n">
        <v>30</v>
      </c>
      <c r="J10" s="68" t="n">
        <v>4.99</v>
      </c>
      <c r="K10" s="68" t="n">
        <v>18</v>
      </c>
      <c r="L10" s="68" t="n">
        <v>6.4</v>
      </c>
    </row>
    <row r="11" customFormat="false" ht="14.25" hidden="false" customHeight="true" outlineLevel="0" collapsed="false">
      <c r="A11" s="68" t="s">
        <v>53</v>
      </c>
      <c r="B11" s="68" t="s">
        <v>54</v>
      </c>
      <c r="C11" s="68" t="n">
        <v>2025</v>
      </c>
      <c r="D11" s="68" t="n">
        <v>61.2</v>
      </c>
      <c r="E11" s="68" t="n">
        <v>72.5</v>
      </c>
      <c r="F11" s="68" t="n">
        <v>42.4</v>
      </c>
      <c r="G11" s="68" t="n">
        <v>51.4</v>
      </c>
      <c r="H11" s="68" t="n">
        <v>2.67</v>
      </c>
      <c r="I11" s="68" t="n">
        <v>15</v>
      </c>
      <c r="J11" s="68" t="n">
        <v>4.93</v>
      </c>
      <c r="K11" s="68" t="n">
        <v>12</v>
      </c>
      <c r="L11" s="68" t="n">
        <v>5.3</v>
      </c>
    </row>
    <row r="12" customFormat="false" ht="14.25" hidden="false" customHeight="true" outlineLevel="0" collapsed="false">
      <c r="A12" s="68" t="s">
        <v>55</v>
      </c>
      <c r="B12" s="68" t="s">
        <v>56</v>
      </c>
      <c r="C12" s="68" t="n">
        <v>2025</v>
      </c>
      <c r="D12" s="68" t="n">
        <v>37.3</v>
      </c>
      <c r="E12" s="68" t="n">
        <v>61.5</v>
      </c>
      <c r="F12" s="68" t="n">
        <v>27.9</v>
      </c>
      <c r="G12" s="68" t="n">
        <v>30.8</v>
      </c>
      <c r="H12" s="68" t="n">
        <v>1.14</v>
      </c>
      <c r="I12" s="68" t="n">
        <v>13</v>
      </c>
      <c r="J12" s="68" t="n">
        <v>3.26</v>
      </c>
      <c r="K12" s="68" t="n">
        <v>6</v>
      </c>
      <c r="L12" s="68" t="n">
        <v>4.1</v>
      </c>
    </row>
    <row r="13" customFormat="false" ht="14.25" hidden="false" customHeight="true" outlineLevel="0" collapsed="false">
      <c r="A13" s="68" t="s">
        <v>57</v>
      </c>
      <c r="B13" s="68" t="s">
        <v>58</v>
      </c>
      <c r="C13" s="68" t="n">
        <v>2025</v>
      </c>
      <c r="D13" s="68" t="n">
        <v>53</v>
      </c>
      <c r="E13" s="68" t="n">
        <v>61.2</v>
      </c>
      <c r="F13" s="68" t="n">
        <v>25.3</v>
      </c>
      <c r="G13" s="68" t="n">
        <v>37.2</v>
      </c>
      <c r="H13" s="68" t="n">
        <v>1.29</v>
      </c>
      <c r="I13" s="68" t="n">
        <v>10</v>
      </c>
      <c r="J13" s="68" t="n">
        <v>2.62</v>
      </c>
      <c r="K13" s="68" t="n">
        <v>10</v>
      </c>
      <c r="L13" s="68" t="n">
        <v>3.9</v>
      </c>
    </row>
    <row r="14" customFormat="false" ht="14.25" hidden="false" customHeight="true" outlineLevel="0" collapsed="false">
      <c r="A14" s="68" t="s">
        <v>61</v>
      </c>
      <c r="B14" s="68" t="s">
        <v>62</v>
      </c>
      <c r="C14" s="68" t="n">
        <v>2025</v>
      </c>
      <c r="D14" s="68" t="n">
        <v>57.7</v>
      </c>
      <c r="E14" s="68" t="n">
        <v>67</v>
      </c>
      <c r="F14" s="68" t="n">
        <v>42.7</v>
      </c>
      <c r="G14" s="68" t="n">
        <v>51.8</v>
      </c>
      <c r="H14" s="68" t="n">
        <v>2.39</v>
      </c>
      <c r="I14" s="68" t="n">
        <v>17</v>
      </c>
      <c r="J14" s="68" t="n">
        <v>2.56</v>
      </c>
      <c r="K14" s="68" t="n">
        <v>16</v>
      </c>
      <c r="L14" s="68" t="n">
        <v>4.3</v>
      </c>
    </row>
    <row r="15" customFormat="false" ht="14.25" hidden="false" customHeight="true" outlineLevel="0" collapsed="false">
      <c r="A15" s="68" t="s">
        <v>64</v>
      </c>
      <c r="B15" s="68" t="s">
        <v>65</v>
      </c>
      <c r="C15" s="68" t="n">
        <v>2025</v>
      </c>
      <c r="D15" s="68" t="n">
        <v>45.3</v>
      </c>
      <c r="E15" s="68" t="n">
        <v>61</v>
      </c>
      <c r="F15" s="68" t="n">
        <v>34</v>
      </c>
      <c r="G15" s="68" t="n">
        <v>48.7</v>
      </c>
      <c r="H15" s="68" t="n">
        <v>1.95</v>
      </c>
      <c r="I15" s="68" t="n">
        <v>11</v>
      </c>
      <c r="J15" s="68" t="n">
        <v>1.91</v>
      </c>
      <c r="K15" s="68" t="n">
        <v>7</v>
      </c>
      <c r="L15" s="68" t="n">
        <v>4.8</v>
      </c>
    </row>
    <row r="16" customFormat="false" ht="14.25" hidden="false" customHeight="true" outlineLevel="0" collapsed="false">
      <c r="A16" s="68" t="s">
        <v>67</v>
      </c>
      <c r="B16" s="68" t="s">
        <v>68</v>
      </c>
      <c r="C16" s="68" t="n">
        <v>2025</v>
      </c>
      <c r="D16" s="68" t="n">
        <v>61.1</v>
      </c>
      <c r="E16" s="68" t="n">
        <v>69.9</v>
      </c>
      <c r="F16" s="68" t="n">
        <v>42.7</v>
      </c>
      <c r="G16" s="68" t="n">
        <v>60.5</v>
      </c>
      <c r="H16" s="68" t="n">
        <v>2.95</v>
      </c>
      <c r="I16" s="68" t="n">
        <v>19</v>
      </c>
      <c r="J16" s="68" t="n">
        <v>3.11</v>
      </c>
      <c r="K16" s="68" t="n">
        <v>12</v>
      </c>
      <c r="L16" s="68" t="n">
        <v>6.5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11" min="3" style="1" width="14"/>
    <col collapsed="false" customWidth="true" hidden="false" outlineLevel="0" max="26" min="12" style="1" width="16"/>
  </cols>
  <sheetData>
    <row r="1" customFormat="false" ht="33.75" hidden="false" customHeight="true" outlineLevel="0" collapsed="false">
      <c r="A1" s="5" t="s">
        <v>838</v>
      </c>
      <c r="B1" s="5" t="s">
        <v>839</v>
      </c>
      <c r="C1" s="5" t="s">
        <v>575</v>
      </c>
      <c r="D1" s="5" t="s">
        <v>576</v>
      </c>
      <c r="E1" s="5" t="s">
        <v>791</v>
      </c>
      <c r="F1" s="5" t="s">
        <v>792</v>
      </c>
      <c r="G1" s="5" t="s">
        <v>840</v>
      </c>
      <c r="H1" s="5" t="s">
        <v>328</v>
      </c>
      <c r="I1" s="5" t="s">
        <v>841</v>
      </c>
      <c r="J1" s="5" t="s">
        <v>842</v>
      </c>
      <c r="K1" s="5" t="s">
        <v>843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844</v>
      </c>
      <c r="B2" s="68" t="n">
        <v>1000</v>
      </c>
      <c r="C2" s="68" t="s">
        <v>16</v>
      </c>
      <c r="D2" s="68" t="s">
        <v>17</v>
      </c>
      <c r="E2" s="68" t="n">
        <v>2022</v>
      </c>
      <c r="F2" s="68" t="s">
        <v>797</v>
      </c>
      <c r="G2" s="68" t="s">
        <v>845</v>
      </c>
      <c r="H2" s="68" t="n">
        <v>87.79</v>
      </c>
      <c r="I2" s="68" t="n">
        <v>36.5</v>
      </c>
      <c r="J2" s="68" t="n">
        <v>4.16</v>
      </c>
      <c r="K2" s="68" t="n">
        <v>743</v>
      </c>
    </row>
    <row r="3" customFormat="false" ht="14.25" hidden="false" customHeight="true" outlineLevel="0" collapsed="false">
      <c r="A3" s="68" t="s">
        <v>844</v>
      </c>
      <c r="B3" s="68" t="n">
        <v>1001</v>
      </c>
      <c r="C3" s="68" t="s">
        <v>16</v>
      </c>
      <c r="D3" s="68" t="s">
        <v>17</v>
      </c>
      <c r="E3" s="68" t="n">
        <v>2022</v>
      </c>
      <c r="F3" s="68" t="s">
        <v>797</v>
      </c>
      <c r="G3" s="68" t="s">
        <v>846</v>
      </c>
      <c r="H3" s="68" t="n">
        <v>91.46</v>
      </c>
      <c r="I3" s="68" t="n">
        <v>40.6</v>
      </c>
      <c r="J3" s="68" t="n">
        <v>3.99</v>
      </c>
      <c r="K3" s="68" t="n">
        <v>251</v>
      </c>
    </row>
    <row r="4" customFormat="false" ht="14.25" hidden="false" customHeight="true" outlineLevel="0" collapsed="false">
      <c r="A4" s="68" t="s">
        <v>844</v>
      </c>
      <c r="B4" s="68" t="n">
        <v>1002</v>
      </c>
      <c r="C4" s="68" t="s">
        <v>16</v>
      </c>
      <c r="D4" s="68" t="s">
        <v>17</v>
      </c>
      <c r="E4" s="68" t="n">
        <v>2022</v>
      </c>
      <c r="F4" s="68" t="s">
        <v>805</v>
      </c>
      <c r="G4" s="68" t="s">
        <v>846</v>
      </c>
      <c r="H4" s="68" t="n">
        <v>99.84</v>
      </c>
      <c r="I4" s="68" t="n">
        <v>71</v>
      </c>
      <c r="J4" s="68" t="n">
        <v>3.87</v>
      </c>
      <c r="K4" s="68" t="n">
        <v>520</v>
      </c>
    </row>
    <row r="5" customFormat="false" ht="14.25" hidden="false" customHeight="true" outlineLevel="0" collapsed="false">
      <c r="A5" s="68" t="s">
        <v>844</v>
      </c>
      <c r="B5" s="68" t="n">
        <v>1003</v>
      </c>
      <c r="C5" s="68" t="s">
        <v>16</v>
      </c>
      <c r="D5" s="68" t="s">
        <v>17</v>
      </c>
      <c r="E5" s="68" t="n">
        <v>2022</v>
      </c>
      <c r="F5" s="68" t="s">
        <v>798</v>
      </c>
      <c r="G5" s="68" t="s">
        <v>845</v>
      </c>
      <c r="H5" s="68" t="n">
        <v>105.79</v>
      </c>
      <c r="I5" s="68" t="n">
        <v>81.1</v>
      </c>
      <c r="J5" s="68" t="n">
        <v>4.46</v>
      </c>
      <c r="K5" s="68" t="n">
        <v>615</v>
      </c>
    </row>
    <row r="6" customFormat="false" ht="14.25" hidden="false" customHeight="true" outlineLevel="0" collapsed="false">
      <c r="A6" s="68" t="s">
        <v>844</v>
      </c>
      <c r="B6" s="68" t="n">
        <v>1004</v>
      </c>
      <c r="C6" s="68" t="s">
        <v>16</v>
      </c>
      <c r="D6" s="68" t="s">
        <v>17</v>
      </c>
      <c r="E6" s="68" t="n">
        <v>2022</v>
      </c>
      <c r="F6" s="68" t="s">
        <v>801</v>
      </c>
      <c r="G6" s="68" t="s">
        <v>845</v>
      </c>
      <c r="H6" s="68" t="n">
        <v>89.04</v>
      </c>
      <c r="I6" s="68" t="n">
        <v>50.3</v>
      </c>
      <c r="J6" s="68" t="n">
        <v>4.73</v>
      </c>
      <c r="K6" s="68" t="n">
        <v>95</v>
      </c>
    </row>
    <row r="7" customFormat="false" ht="14.25" hidden="false" customHeight="true" outlineLevel="0" collapsed="false">
      <c r="A7" s="68" t="s">
        <v>844</v>
      </c>
      <c r="B7" s="68" t="n">
        <v>1005</v>
      </c>
      <c r="C7" s="68" t="s">
        <v>16</v>
      </c>
      <c r="D7" s="68" t="s">
        <v>17</v>
      </c>
      <c r="E7" s="68" t="n">
        <v>2022</v>
      </c>
      <c r="F7" s="68" t="s">
        <v>801</v>
      </c>
      <c r="G7" s="68" t="s">
        <v>846</v>
      </c>
      <c r="H7" s="68" t="n">
        <v>97.7</v>
      </c>
      <c r="I7" s="68" t="n">
        <v>67.8</v>
      </c>
      <c r="J7" s="68" t="n">
        <v>3.96</v>
      </c>
      <c r="K7" s="68" t="n">
        <v>423</v>
      </c>
    </row>
    <row r="8" customFormat="false" ht="14.25" hidden="false" customHeight="true" outlineLevel="0" collapsed="false">
      <c r="A8" s="68" t="s">
        <v>844</v>
      </c>
      <c r="B8" s="68" t="n">
        <v>1006</v>
      </c>
      <c r="C8" s="68" t="s">
        <v>16</v>
      </c>
      <c r="D8" s="68" t="s">
        <v>17</v>
      </c>
      <c r="E8" s="68" t="n">
        <v>2023</v>
      </c>
      <c r="F8" s="68" t="s">
        <v>797</v>
      </c>
      <c r="G8" s="68" t="s">
        <v>845</v>
      </c>
      <c r="H8" s="68" t="n">
        <v>118.28</v>
      </c>
      <c r="I8" s="68" t="n">
        <v>42.7</v>
      </c>
      <c r="J8" s="68" t="n">
        <v>4.21</v>
      </c>
      <c r="K8" s="68" t="n">
        <v>146</v>
      </c>
    </row>
    <row r="9" customFormat="false" ht="14.25" hidden="false" customHeight="true" outlineLevel="0" collapsed="false">
      <c r="A9" s="68" t="s">
        <v>844</v>
      </c>
      <c r="B9" s="68" t="n">
        <v>1007</v>
      </c>
      <c r="C9" s="68" t="s">
        <v>16</v>
      </c>
      <c r="D9" s="68" t="s">
        <v>17</v>
      </c>
      <c r="E9" s="68" t="n">
        <v>2023</v>
      </c>
      <c r="F9" s="68" t="s">
        <v>797</v>
      </c>
      <c r="G9" s="68" t="s">
        <v>846</v>
      </c>
      <c r="H9" s="68" t="n">
        <v>95.16</v>
      </c>
      <c r="I9" s="68" t="n">
        <v>90.3</v>
      </c>
      <c r="J9" s="68" t="n">
        <v>4.58</v>
      </c>
      <c r="K9" s="68" t="n">
        <v>887</v>
      </c>
    </row>
    <row r="10" customFormat="false" ht="14.25" hidden="false" customHeight="true" outlineLevel="0" collapsed="false">
      <c r="A10" s="68" t="s">
        <v>844</v>
      </c>
      <c r="B10" s="68" t="n">
        <v>1008</v>
      </c>
      <c r="C10" s="68" t="s">
        <v>16</v>
      </c>
      <c r="D10" s="68" t="s">
        <v>17</v>
      </c>
      <c r="E10" s="68" t="n">
        <v>2023</v>
      </c>
      <c r="F10" s="68" t="s">
        <v>805</v>
      </c>
      <c r="G10" s="68" t="s">
        <v>846</v>
      </c>
      <c r="H10" s="68" t="n">
        <v>116.83</v>
      </c>
      <c r="I10" s="68" t="n">
        <v>73.4</v>
      </c>
      <c r="J10" s="68" t="n">
        <v>3.93</v>
      </c>
      <c r="K10" s="68" t="n">
        <v>339</v>
      </c>
    </row>
    <row r="11" customFormat="false" ht="14.25" hidden="false" customHeight="true" outlineLevel="0" collapsed="false">
      <c r="A11" s="68" t="s">
        <v>844</v>
      </c>
      <c r="B11" s="68" t="n">
        <v>1009</v>
      </c>
      <c r="C11" s="68" t="s">
        <v>16</v>
      </c>
      <c r="D11" s="68" t="s">
        <v>17</v>
      </c>
      <c r="E11" s="68" t="n">
        <v>2023</v>
      </c>
      <c r="F11" s="68" t="s">
        <v>798</v>
      </c>
      <c r="G11" s="68" t="s">
        <v>845</v>
      </c>
      <c r="H11" s="68" t="n">
        <v>104.8</v>
      </c>
      <c r="I11" s="68" t="n">
        <v>50.2</v>
      </c>
      <c r="J11" s="68" t="n">
        <v>4.3</v>
      </c>
      <c r="K11" s="68" t="n">
        <v>190</v>
      </c>
    </row>
    <row r="12" customFormat="false" ht="14.25" hidden="false" customHeight="true" outlineLevel="0" collapsed="false">
      <c r="A12" s="68" t="s">
        <v>844</v>
      </c>
      <c r="B12" s="68" t="n">
        <v>1010</v>
      </c>
      <c r="C12" s="68" t="s">
        <v>16</v>
      </c>
      <c r="D12" s="68" t="s">
        <v>17</v>
      </c>
      <c r="E12" s="68" t="n">
        <v>2023</v>
      </c>
      <c r="F12" s="68" t="s">
        <v>801</v>
      </c>
      <c r="G12" s="68" t="s">
        <v>846</v>
      </c>
      <c r="H12" s="68" t="n">
        <v>125.41</v>
      </c>
      <c r="I12" s="68" t="n">
        <v>54.6</v>
      </c>
      <c r="J12" s="68" t="n">
        <v>4.45</v>
      </c>
      <c r="K12" s="68" t="n">
        <v>389</v>
      </c>
    </row>
    <row r="13" customFormat="false" ht="14.25" hidden="false" customHeight="true" outlineLevel="0" collapsed="false">
      <c r="A13" s="68" t="s">
        <v>844</v>
      </c>
      <c r="B13" s="68" t="n">
        <v>1011</v>
      </c>
      <c r="C13" s="68" t="s">
        <v>16</v>
      </c>
      <c r="D13" s="68" t="s">
        <v>17</v>
      </c>
      <c r="E13" s="68" t="n">
        <v>2024</v>
      </c>
      <c r="F13" s="68" t="s">
        <v>797</v>
      </c>
      <c r="G13" s="68" t="s">
        <v>845</v>
      </c>
      <c r="H13" s="68" t="n">
        <v>107.06</v>
      </c>
      <c r="I13" s="68" t="n">
        <v>60.4</v>
      </c>
      <c r="J13" s="68" t="n">
        <v>4.37</v>
      </c>
      <c r="K13" s="68" t="n">
        <v>564</v>
      </c>
    </row>
    <row r="14" customFormat="false" ht="14.25" hidden="false" customHeight="true" outlineLevel="0" collapsed="false">
      <c r="A14" s="68" t="s">
        <v>844</v>
      </c>
      <c r="B14" s="68" t="n">
        <v>1012</v>
      </c>
      <c r="C14" s="68" t="s">
        <v>16</v>
      </c>
      <c r="D14" s="68" t="s">
        <v>17</v>
      </c>
      <c r="E14" s="68" t="n">
        <v>2024</v>
      </c>
      <c r="F14" s="68" t="s">
        <v>797</v>
      </c>
      <c r="G14" s="68" t="s">
        <v>846</v>
      </c>
      <c r="H14" s="68" t="n">
        <v>113.6</v>
      </c>
      <c r="I14" s="68" t="n">
        <v>32.7</v>
      </c>
      <c r="J14" s="68" t="n">
        <v>4.38</v>
      </c>
      <c r="K14" s="68" t="n">
        <v>797</v>
      </c>
    </row>
    <row r="15" customFormat="false" ht="14.25" hidden="false" customHeight="true" outlineLevel="0" collapsed="false">
      <c r="A15" s="68" t="s">
        <v>844</v>
      </c>
      <c r="B15" s="68" t="n">
        <v>1013</v>
      </c>
      <c r="C15" s="68" t="s">
        <v>16</v>
      </c>
      <c r="D15" s="68" t="s">
        <v>17</v>
      </c>
      <c r="E15" s="68" t="n">
        <v>2024</v>
      </c>
      <c r="F15" s="68" t="s">
        <v>798</v>
      </c>
      <c r="G15" s="68" t="s">
        <v>846</v>
      </c>
      <c r="H15" s="68" t="n">
        <v>112.9</v>
      </c>
      <c r="I15" s="68" t="n">
        <v>54.6</v>
      </c>
      <c r="J15" s="68" t="n">
        <v>4.45</v>
      </c>
      <c r="K15" s="68" t="n">
        <v>689</v>
      </c>
    </row>
    <row r="16" customFormat="false" ht="14.25" hidden="false" customHeight="true" outlineLevel="0" collapsed="false">
      <c r="A16" s="68" t="s">
        <v>844</v>
      </c>
      <c r="B16" s="68" t="n">
        <v>1014</v>
      </c>
      <c r="C16" s="68" t="s">
        <v>16</v>
      </c>
      <c r="D16" s="68" t="s">
        <v>17</v>
      </c>
      <c r="E16" s="68" t="n">
        <v>2024</v>
      </c>
      <c r="F16" s="68" t="s">
        <v>801</v>
      </c>
      <c r="G16" s="68" t="s">
        <v>845</v>
      </c>
      <c r="H16" s="68" t="n">
        <v>119.24</v>
      </c>
      <c r="I16" s="68" t="n">
        <v>25.5</v>
      </c>
      <c r="J16" s="68" t="n">
        <v>4.28</v>
      </c>
      <c r="K16" s="68" t="n">
        <v>202</v>
      </c>
    </row>
    <row r="17" customFormat="false" ht="14.25" hidden="false" customHeight="true" outlineLevel="0" collapsed="false">
      <c r="A17" s="68" t="s">
        <v>844</v>
      </c>
      <c r="B17" s="68" t="n">
        <v>1015</v>
      </c>
      <c r="C17" s="68" t="s">
        <v>16</v>
      </c>
      <c r="D17" s="68" t="s">
        <v>17</v>
      </c>
      <c r="E17" s="68" t="n">
        <v>2025</v>
      </c>
      <c r="F17" s="68" t="s">
        <v>797</v>
      </c>
      <c r="G17" s="68" t="s">
        <v>845</v>
      </c>
      <c r="H17" s="68" t="n">
        <v>129.33</v>
      </c>
      <c r="I17" s="68" t="n">
        <v>65.7</v>
      </c>
      <c r="J17" s="68" t="n">
        <v>3.91</v>
      </c>
      <c r="K17" s="68" t="n">
        <v>448</v>
      </c>
    </row>
    <row r="18" customFormat="false" ht="14.25" hidden="false" customHeight="true" outlineLevel="0" collapsed="false">
      <c r="A18" s="68" t="s">
        <v>844</v>
      </c>
      <c r="B18" s="68" t="n">
        <v>1016</v>
      </c>
      <c r="C18" s="68" t="s">
        <v>16</v>
      </c>
      <c r="D18" s="68" t="s">
        <v>17</v>
      </c>
      <c r="E18" s="68" t="n">
        <v>2025</v>
      </c>
      <c r="F18" s="68" t="s">
        <v>805</v>
      </c>
      <c r="G18" s="68" t="s">
        <v>846</v>
      </c>
      <c r="H18" s="68" t="n">
        <v>134.22</v>
      </c>
      <c r="I18" s="68" t="n">
        <v>16.4</v>
      </c>
      <c r="J18" s="68" t="n">
        <v>4.29</v>
      </c>
      <c r="K18" s="68" t="n">
        <v>447</v>
      </c>
    </row>
    <row r="19" customFormat="false" ht="14.25" hidden="false" customHeight="true" outlineLevel="0" collapsed="false">
      <c r="A19" s="68" t="s">
        <v>844</v>
      </c>
      <c r="B19" s="68" t="n">
        <v>1017</v>
      </c>
      <c r="C19" s="68" t="s">
        <v>22</v>
      </c>
      <c r="D19" s="68" t="s">
        <v>23</v>
      </c>
      <c r="E19" s="68" t="n">
        <v>2022</v>
      </c>
      <c r="F19" s="68" t="s">
        <v>797</v>
      </c>
      <c r="G19" s="68" t="s">
        <v>845</v>
      </c>
      <c r="H19" s="68" t="n">
        <v>92.49</v>
      </c>
      <c r="I19" s="68" t="n">
        <v>46.7</v>
      </c>
      <c r="J19" s="68" t="n">
        <v>4.62</v>
      </c>
      <c r="K19" s="68" t="n">
        <v>595</v>
      </c>
    </row>
    <row r="20" customFormat="false" ht="14.25" hidden="false" customHeight="true" outlineLevel="0" collapsed="false">
      <c r="A20" s="68" t="s">
        <v>844</v>
      </c>
      <c r="B20" s="68" t="n">
        <v>1018</v>
      </c>
      <c r="C20" s="68" t="s">
        <v>22</v>
      </c>
      <c r="D20" s="68" t="s">
        <v>23</v>
      </c>
      <c r="E20" s="68" t="n">
        <v>2022</v>
      </c>
      <c r="F20" s="68" t="s">
        <v>805</v>
      </c>
      <c r="G20" s="68" t="s">
        <v>846</v>
      </c>
      <c r="H20" s="68" t="n">
        <v>98.11</v>
      </c>
      <c r="I20" s="68" t="n">
        <v>41.1</v>
      </c>
      <c r="J20" s="68" t="n">
        <v>4.56</v>
      </c>
      <c r="K20" s="68" t="n">
        <v>373</v>
      </c>
    </row>
    <row r="21" customFormat="false" ht="14.25" hidden="false" customHeight="true" outlineLevel="0" collapsed="false">
      <c r="A21" s="68" t="s">
        <v>844</v>
      </c>
      <c r="B21" s="68" t="n">
        <v>1019</v>
      </c>
      <c r="C21" s="68" t="s">
        <v>22</v>
      </c>
      <c r="D21" s="68" t="s">
        <v>23</v>
      </c>
      <c r="E21" s="68" t="n">
        <v>2022</v>
      </c>
      <c r="F21" s="68" t="s">
        <v>798</v>
      </c>
      <c r="G21" s="68" t="s">
        <v>845</v>
      </c>
      <c r="H21" s="68" t="n">
        <v>99.55</v>
      </c>
      <c r="I21" s="68" t="n">
        <v>67.1</v>
      </c>
      <c r="J21" s="68" t="n">
        <v>4.35</v>
      </c>
      <c r="K21" s="68" t="n">
        <v>661</v>
      </c>
    </row>
    <row r="22" customFormat="false" ht="14.25" hidden="false" customHeight="true" outlineLevel="0" collapsed="false">
      <c r="A22" s="68" t="s">
        <v>844</v>
      </c>
      <c r="B22" s="68" t="n">
        <v>1020</v>
      </c>
      <c r="C22" s="68" t="s">
        <v>22</v>
      </c>
      <c r="D22" s="68" t="s">
        <v>23</v>
      </c>
      <c r="E22" s="68" t="n">
        <v>2022</v>
      </c>
      <c r="F22" s="68" t="s">
        <v>798</v>
      </c>
      <c r="G22" s="68" t="s">
        <v>846</v>
      </c>
      <c r="H22" s="68" t="n">
        <v>96.86</v>
      </c>
      <c r="I22" s="68" t="n">
        <v>66.7</v>
      </c>
      <c r="J22" s="68" t="n">
        <v>4.42</v>
      </c>
      <c r="K22" s="68" t="n">
        <v>269</v>
      </c>
    </row>
    <row r="23" customFormat="false" ht="14.25" hidden="false" customHeight="true" outlineLevel="0" collapsed="false">
      <c r="A23" s="68" t="s">
        <v>844</v>
      </c>
      <c r="B23" s="68" t="n">
        <v>1021</v>
      </c>
      <c r="C23" s="68" t="s">
        <v>22</v>
      </c>
      <c r="D23" s="68" t="s">
        <v>23</v>
      </c>
      <c r="E23" s="68" t="n">
        <v>2022</v>
      </c>
      <c r="F23" s="68" t="s">
        <v>801</v>
      </c>
      <c r="G23" s="68" t="s">
        <v>845</v>
      </c>
      <c r="H23" s="68" t="n">
        <v>99.26</v>
      </c>
      <c r="I23" s="68" t="n">
        <v>55.7</v>
      </c>
      <c r="J23" s="68" t="n">
        <v>3.89</v>
      </c>
      <c r="K23" s="68" t="n">
        <v>642</v>
      </c>
    </row>
    <row r="24" customFormat="false" ht="14.25" hidden="false" customHeight="true" outlineLevel="0" collapsed="false">
      <c r="A24" s="68" t="s">
        <v>844</v>
      </c>
      <c r="B24" s="68" t="n">
        <v>1022</v>
      </c>
      <c r="C24" s="68" t="s">
        <v>22</v>
      </c>
      <c r="D24" s="68" t="s">
        <v>23</v>
      </c>
      <c r="E24" s="68" t="n">
        <v>2023</v>
      </c>
      <c r="F24" s="68" t="s">
        <v>797</v>
      </c>
      <c r="G24" s="68" t="s">
        <v>845</v>
      </c>
      <c r="H24" s="68" t="n">
        <v>107.04</v>
      </c>
      <c r="I24" s="68" t="n">
        <v>38.7</v>
      </c>
      <c r="J24" s="68" t="n">
        <v>4.21</v>
      </c>
      <c r="K24" s="68" t="n">
        <v>473</v>
      </c>
    </row>
    <row r="25" customFormat="false" ht="14.25" hidden="false" customHeight="true" outlineLevel="0" collapsed="false">
      <c r="A25" s="68" t="s">
        <v>844</v>
      </c>
      <c r="B25" s="68" t="n">
        <v>1023</v>
      </c>
      <c r="C25" s="68" t="s">
        <v>22</v>
      </c>
      <c r="D25" s="68" t="s">
        <v>23</v>
      </c>
      <c r="E25" s="68" t="n">
        <v>2023</v>
      </c>
      <c r="F25" s="68" t="s">
        <v>805</v>
      </c>
      <c r="G25" s="68" t="s">
        <v>846</v>
      </c>
      <c r="H25" s="68" t="n">
        <v>140.04</v>
      </c>
      <c r="I25" s="68" t="n">
        <v>60.3</v>
      </c>
      <c r="J25" s="68" t="n">
        <v>4.16</v>
      </c>
      <c r="K25" s="68" t="n">
        <v>119</v>
      </c>
    </row>
    <row r="26" customFormat="false" ht="14.25" hidden="false" customHeight="true" outlineLevel="0" collapsed="false">
      <c r="A26" s="68" t="s">
        <v>844</v>
      </c>
      <c r="B26" s="68" t="n">
        <v>1024</v>
      </c>
      <c r="C26" s="68" t="s">
        <v>22</v>
      </c>
      <c r="D26" s="68" t="s">
        <v>23</v>
      </c>
      <c r="E26" s="68" t="n">
        <v>2023</v>
      </c>
      <c r="F26" s="68" t="s">
        <v>798</v>
      </c>
      <c r="G26" s="68" t="s">
        <v>845</v>
      </c>
      <c r="H26" s="68" t="n">
        <v>110.54</v>
      </c>
      <c r="I26" s="68" t="n">
        <v>85.3</v>
      </c>
      <c r="J26" s="68" t="n">
        <v>4.34</v>
      </c>
      <c r="K26" s="68" t="n">
        <v>349</v>
      </c>
    </row>
    <row r="27" customFormat="false" ht="14.25" hidden="false" customHeight="true" outlineLevel="0" collapsed="false">
      <c r="A27" s="68" t="s">
        <v>844</v>
      </c>
      <c r="B27" s="68" t="n">
        <v>1025</v>
      </c>
      <c r="C27" s="68" t="s">
        <v>22</v>
      </c>
      <c r="D27" s="68" t="s">
        <v>23</v>
      </c>
      <c r="E27" s="68" t="n">
        <v>2023</v>
      </c>
      <c r="F27" s="68" t="s">
        <v>798</v>
      </c>
      <c r="G27" s="68" t="s">
        <v>846</v>
      </c>
      <c r="H27" s="68" t="n">
        <v>120.08</v>
      </c>
      <c r="I27" s="68" t="n">
        <v>47.6</v>
      </c>
      <c r="J27" s="68" t="n">
        <v>4.73</v>
      </c>
      <c r="K27" s="68" t="n">
        <v>622</v>
      </c>
    </row>
    <row r="28" customFormat="false" ht="14.25" hidden="false" customHeight="true" outlineLevel="0" collapsed="false">
      <c r="A28" s="68" t="s">
        <v>844</v>
      </c>
      <c r="B28" s="68" t="n">
        <v>1026</v>
      </c>
      <c r="C28" s="68" t="s">
        <v>22</v>
      </c>
      <c r="D28" s="68" t="s">
        <v>23</v>
      </c>
      <c r="E28" s="68" t="n">
        <v>2024</v>
      </c>
      <c r="F28" s="68" t="s">
        <v>797</v>
      </c>
      <c r="G28" s="68" t="s">
        <v>845</v>
      </c>
      <c r="H28" s="68" t="n">
        <v>107.38</v>
      </c>
      <c r="I28" s="68" t="n">
        <v>41.1</v>
      </c>
      <c r="J28" s="68" t="n">
        <v>4.04</v>
      </c>
      <c r="K28" s="68" t="n">
        <v>345</v>
      </c>
    </row>
    <row r="29" customFormat="false" ht="14.25" hidden="false" customHeight="true" outlineLevel="0" collapsed="false">
      <c r="A29" s="68" t="s">
        <v>844</v>
      </c>
      <c r="B29" s="68" t="n">
        <v>1027</v>
      </c>
      <c r="C29" s="68" t="s">
        <v>22</v>
      </c>
      <c r="D29" s="68" t="s">
        <v>23</v>
      </c>
      <c r="E29" s="68" t="n">
        <v>2024</v>
      </c>
      <c r="F29" s="68" t="s">
        <v>801</v>
      </c>
      <c r="G29" s="68" t="s">
        <v>846</v>
      </c>
      <c r="H29" s="68" t="n">
        <v>112.59</v>
      </c>
      <c r="I29" s="68" t="n">
        <v>69.6</v>
      </c>
      <c r="J29" s="68" t="n">
        <v>4.47</v>
      </c>
      <c r="K29" s="68" t="n">
        <v>163</v>
      </c>
    </row>
    <row r="30" customFormat="false" ht="14.25" hidden="false" customHeight="true" outlineLevel="0" collapsed="false">
      <c r="A30" s="68" t="s">
        <v>844</v>
      </c>
      <c r="B30" s="68" t="n">
        <v>1028</v>
      </c>
      <c r="C30" s="68" t="s">
        <v>22</v>
      </c>
      <c r="D30" s="68" t="s">
        <v>23</v>
      </c>
      <c r="E30" s="68" t="n">
        <v>2025</v>
      </c>
      <c r="F30" s="68" t="s">
        <v>797</v>
      </c>
      <c r="G30" s="68" t="s">
        <v>846</v>
      </c>
      <c r="H30" s="68" t="n">
        <v>109.1</v>
      </c>
      <c r="I30" s="68" t="n">
        <v>52.4</v>
      </c>
      <c r="J30" s="68" t="n">
        <v>4.55</v>
      </c>
      <c r="K30" s="68" t="n">
        <v>573</v>
      </c>
    </row>
    <row r="31" customFormat="false" ht="14.25" hidden="false" customHeight="true" outlineLevel="0" collapsed="false">
      <c r="A31" s="68" t="s">
        <v>844</v>
      </c>
      <c r="B31" s="68" t="n">
        <v>1029</v>
      </c>
      <c r="C31" s="68" t="s">
        <v>22</v>
      </c>
      <c r="D31" s="68" t="s">
        <v>23</v>
      </c>
      <c r="E31" s="68" t="n">
        <v>2025</v>
      </c>
      <c r="F31" s="68" t="s">
        <v>798</v>
      </c>
      <c r="G31" s="68" t="s">
        <v>845</v>
      </c>
      <c r="H31" s="68" t="n">
        <v>147.57</v>
      </c>
      <c r="I31" s="68" t="n">
        <v>36.1</v>
      </c>
      <c r="J31" s="68" t="n">
        <v>3.66</v>
      </c>
      <c r="K31" s="68" t="n">
        <v>107</v>
      </c>
    </row>
    <row r="32" customFormat="false" ht="14.25" hidden="false" customHeight="true" outlineLevel="0" collapsed="false">
      <c r="A32" s="68" t="s">
        <v>844</v>
      </c>
      <c r="B32" s="68" t="n">
        <v>1030</v>
      </c>
      <c r="C32" s="68" t="s">
        <v>22</v>
      </c>
      <c r="D32" s="68" t="s">
        <v>23</v>
      </c>
      <c r="E32" s="68" t="n">
        <v>2025</v>
      </c>
      <c r="F32" s="68" t="s">
        <v>798</v>
      </c>
      <c r="G32" s="68" t="s">
        <v>846</v>
      </c>
      <c r="H32" s="68" t="n">
        <v>138.01</v>
      </c>
      <c r="I32" s="68" t="n">
        <v>48.4</v>
      </c>
      <c r="J32" s="68" t="n">
        <v>4.17</v>
      </c>
      <c r="K32" s="68" t="n">
        <v>379</v>
      </c>
    </row>
    <row r="33" customFormat="false" ht="14.25" hidden="false" customHeight="true" outlineLevel="0" collapsed="false">
      <c r="A33" s="68" t="s">
        <v>844</v>
      </c>
      <c r="B33" s="68" t="n">
        <v>1031</v>
      </c>
      <c r="C33" s="68" t="s">
        <v>27</v>
      </c>
      <c r="D33" s="68" t="s">
        <v>28</v>
      </c>
      <c r="E33" s="68" t="n">
        <v>2022</v>
      </c>
      <c r="F33" s="68" t="s">
        <v>797</v>
      </c>
      <c r="G33" s="68" t="s">
        <v>845</v>
      </c>
      <c r="H33" s="68" t="n">
        <v>102.62</v>
      </c>
      <c r="I33" s="68" t="n">
        <v>60.1</v>
      </c>
      <c r="J33" s="68" t="n">
        <v>3.82</v>
      </c>
      <c r="K33" s="68" t="n">
        <v>881</v>
      </c>
    </row>
    <row r="34" customFormat="false" ht="14.25" hidden="false" customHeight="true" outlineLevel="0" collapsed="false">
      <c r="A34" s="68" t="s">
        <v>844</v>
      </c>
      <c r="B34" s="68" t="n">
        <v>1032</v>
      </c>
      <c r="C34" s="68" t="s">
        <v>27</v>
      </c>
      <c r="D34" s="68" t="s">
        <v>28</v>
      </c>
      <c r="E34" s="68" t="n">
        <v>2022</v>
      </c>
      <c r="F34" s="68" t="s">
        <v>797</v>
      </c>
      <c r="G34" s="68" t="s">
        <v>846</v>
      </c>
      <c r="H34" s="68" t="n">
        <v>120.43</v>
      </c>
      <c r="I34" s="68" t="n">
        <v>72.9</v>
      </c>
      <c r="J34" s="68" t="n">
        <v>4.88</v>
      </c>
      <c r="K34" s="68" t="n">
        <v>822</v>
      </c>
    </row>
    <row r="35" customFormat="false" ht="14.25" hidden="false" customHeight="true" outlineLevel="0" collapsed="false">
      <c r="A35" s="68" t="s">
        <v>844</v>
      </c>
      <c r="B35" s="68" t="n">
        <v>1033</v>
      </c>
      <c r="C35" s="68" t="s">
        <v>27</v>
      </c>
      <c r="D35" s="68" t="s">
        <v>28</v>
      </c>
      <c r="E35" s="68" t="n">
        <v>2022</v>
      </c>
      <c r="F35" s="68" t="s">
        <v>805</v>
      </c>
      <c r="G35" s="68" t="s">
        <v>845</v>
      </c>
      <c r="H35" s="68" t="n">
        <v>93.84</v>
      </c>
      <c r="I35" s="68" t="n">
        <v>60.3</v>
      </c>
      <c r="J35" s="68" t="n">
        <v>3.93</v>
      </c>
      <c r="K35" s="68" t="n">
        <v>161</v>
      </c>
    </row>
    <row r="36" customFormat="false" ht="14.25" hidden="false" customHeight="true" outlineLevel="0" collapsed="false">
      <c r="A36" s="68" t="s">
        <v>844</v>
      </c>
      <c r="B36" s="68" t="n">
        <v>1034</v>
      </c>
      <c r="C36" s="68" t="s">
        <v>27</v>
      </c>
      <c r="D36" s="68" t="s">
        <v>28</v>
      </c>
      <c r="E36" s="68" t="n">
        <v>2022</v>
      </c>
      <c r="F36" s="68" t="s">
        <v>805</v>
      </c>
      <c r="G36" s="68" t="s">
        <v>846</v>
      </c>
      <c r="H36" s="68" t="n">
        <v>105.98</v>
      </c>
      <c r="I36" s="68" t="n">
        <v>85.7</v>
      </c>
      <c r="J36" s="68" t="n">
        <v>4.16</v>
      </c>
      <c r="K36" s="68" t="n">
        <v>190</v>
      </c>
    </row>
    <row r="37" customFormat="false" ht="14.25" hidden="false" customHeight="true" outlineLevel="0" collapsed="false">
      <c r="A37" s="68" t="s">
        <v>844</v>
      </c>
      <c r="B37" s="68" t="n">
        <v>1035</v>
      </c>
      <c r="C37" s="68" t="s">
        <v>27</v>
      </c>
      <c r="D37" s="68" t="s">
        <v>28</v>
      </c>
      <c r="E37" s="68" t="n">
        <v>2022</v>
      </c>
      <c r="F37" s="68" t="s">
        <v>798</v>
      </c>
      <c r="G37" s="68" t="s">
        <v>846</v>
      </c>
      <c r="H37" s="68" t="n">
        <v>117.81</v>
      </c>
      <c r="I37" s="68" t="n">
        <v>66.3</v>
      </c>
      <c r="J37" s="68" t="n">
        <v>4.23</v>
      </c>
      <c r="K37" s="68" t="n">
        <v>52</v>
      </c>
    </row>
    <row r="38" customFormat="false" ht="14.25" hidden="false" customHeight="true" outlineLevel="0" collapsed="false">
      <c r="A38" s="68" t="s">
        <v>844</v>
      </c>
      <c r="B38" s="68" t="n">
        <v>1036</v>
      </c>
      <c r="C38" s="68" t="s">
        <v>27</v>
      </c>
      <c r="D38" s="68" t="s">
        <v>28</v>
      </c>
      <c r="E38" s="68" t="n">
        <v>2022</v>
      </c>
      <c r="F38" s="68" t="s">
        <v>801</v>
      </c>
      <c r="G38" s="68" t="s">
        <v>845</v>
      </c>
      <c r="H38" s="68" t="n">
        <v>87.8</v>
      </c>
      <c r="I38" s="68" t="n">
        <v>59.9</v>
      </c>
      <c r="J38" s="68" t="n">
        <v>4.27</v>
      </c>
      <c r="K38" s="68" t="n">
        <v>180</v>
      </c>
    </row>
    <row r="39" customFormat="false" ht="14.25" hidden="false" customHeight="true" outlineLevel="0" collapsed="false">
      <c r="A39" s="68" t="s">
        <v>844</v>
      </c>
      <c r="B39" s="68" t="n">
        <v>1037</v>
      </c>
      <c r="C39" s="68" t="s">
        <v>27</v>
      </c>
      <c r="D39" s="68" t="s">
        <v>28</v>
      </c>
      <c r="E39" s="68" t="n">
        <v>2023</v>
      </c>
      <c r="F39" s="68" t="s">
        <v>797</v>
      </c>
      <c r="G39" s="68" t="s">
        <v>845</v>
      </c>
      <c r="H39" s="68" t="n">
        <v>125.21</v>
      </c>
      <c r="I39" s="68" t="n">
        <v>75.3</v>
      </c>
      <c r="J39" s="68" t="n">
        <v>4.15</v>
      </c>
      <c r="K39" s="68" t="n">
        <v>378</v>
      </c>
    </row>
    <row r="40" customFormat="false" ht="14.25" hidden="false" customHeight="true" outlineLevel="0" collapsed="false">
      <c r="A40" s="68" t="s">
        <v>844</v>
      </c>
      <c r="B40" s="68" t="n">
        <v>1038</v>
      </c>
      <c r="C40" s="68" t="s">
        <v>27</v>
      </c>
      <c r="D40" s="68" t="s">
        <v>28</v>
      </c>
      <c r="E40" s="68" t="n">
        <v>2023</v>
      </c>
      <c r="F40" s="68" t="s">
        <v>797</v>
      </c>
      <c r="G40" s="68" t="s">
        <v>846</v>
      </c>
      <c r="H40" s="68" t="n">
        <v>131.61</v>
      </c>
      <c r="I40" s="68" t="n">
        <v>75</v>
      </c>
      <c r="J40" s="68" t="n">
        <v>4.76</v>
      </c>
      <c r="K40" s="68" t="n">
        <v>730</v>
      </c>
    </row>
    <row r="41" customFormat="false" ht="14.25" hidden="false" customHeight="true" outlineLevel="0" collapsed="false">
      <c r="A41" s="68" t="s">
        <v>844</v>
      </c>
      <c r="B41" s="68" t="n">
        <v>1039</v>
      </c>
      <c r="C41" s="68" t="s">
        <v>27</v>
      </c>
      <c r="D41" s="68" t="s">
        <v>28</v>
      </c>
      <c r="E41" s="68" t="n">
        <v>2023</v>
      </c>
      <c r="F41" s="68" t="s">
        <v>805</v>
      </c>
      <c r="G41" s="68" t="s">
        <v>846</v>
      </c>
      <c r="H41" s="68" t="n">
        <v>125.46</v>
      </c>
      <c r="I41" s="68" t="n">
        <v>59</v>
      </c>
      <c r="J41" s="68" t="n">
        <v>4.32</v>
      </c>
      <c r="K41" s="68" t="n">
        <v>252</v>
      </c>
    </row>
    <row r="42" customFormat="false" ht="14.25" hidden="false" customHeight="true" outlineLevel="0" collapsed="false">
      <c r="A42" s="68" t="s">
        <v>844</v>
      </c>
      <c r="B42" s="68" t="n">
        <v>1040</v>
      </c>
      <c r="C42" s="68" t="s">
        <v>27</v>
      </c>
      <c r="D42" s="68" t="s">
        <v>28</v>
      </c>
      <c r="E42" s="68" t="n">
        <v>2023</v>
      </c>
      <c r="F42" s="68" t="s">
        <v>798</v>
      </c>
      <c r="G42" s="68" t="s">
        <v>846</v>
      </c>
      <c r="H42" s="68" t="n">
        <v>129.1</v>
      </c>
      <c r="I42" s="68" t="n">
        <v>50.3</v>
      </c>
      <c r="J42" s="68" t="n">
        <v>3.9</v>
      </c>
      <c r="K42" s="68" t="n">
        <v>7</v>
      </c>
    </row>
    <row r="43" customFormat="false" ht="14.25" hidden="false" customHeight="true" outlineLevel="0" collapsed="false">
      <c r="A43" s="68" t="s">
        <v>844</v>
      </c>
      <c r="B43" s="68" t="n">
        <v>1041</v>
      </c>
      <c r="C43" s="68" t="s">
        <v>27</v>
      </c>
      <c r="D43" s="68" t="s">
        <v>28</v>
      </c>
      <c r="E43" s="68" t="n">
        <v>2023</v>
      </c>
      <c r="F43" s="68" t="s">
        <v>801</v>
      </c>
      <c r="G43" s="68" t="s">
        <v>846</v>
      </c>
      <c r="H43" s="68" t="n">
        <v>111.91</v>
      </c>
      <c r="I43" s="68" t="n">
        <v>47.3</v>
      </c>
      <c r="J43" s="68" t="n">
        <v>4.04</v>
      </c>
      <c r="K43" s="68" t="n">
        <v>490</v>
      </c>
    </row>
    <row r="44" customFormat="false" ht="14.25" hidden="false" customHeight="true" outlineLevel="0" collapsed="false">
      <c r="A44" s="68" t="s">
        <v>844</v>
      </c>
      <c r="B44" s="68" t="n">
        <v>1042</v>
      </c>
      <c r="C44" s="68" t="s">
        <v>27</v>
      </c>
      <c r="D44" s="68" t="s">
        <v>28</v>
      </c>
      <c r="E44" s="68" t="n">
        <v>2024</v>
      </c>
      <c r="F44" s="68" t="s">
        <v>797</v>
      </c>
      <c r="G44" s="68" t="s">
        <v>845</v>
      </c>
      <c r="H44" s="68" t="n">
        <v>109.87</v>
      </c>
      <c r="I44" s="68" t="n">
        <v>55.4</v>
      </c>
      <c r="J44" s="68" t="n">
        <v>3.76</v>
      </c>
      <c r="K44" s="68" t="n">
        <v>555</v>
      </c>
    </row>
    <row r="45" customFormat="false" ht="14.25" hidden="false" customHeight="true" outlineLevel="0" collapsed="false">
      <c r="A45" s="68" t="s">
        <v>844</v>
      </c>
      <c r="B45" s="68" t="n">
        <v>1043</v>
      </c>
      <c r="C45" s="68" t="s">
        <v>27</v>
      </c>
      <c r="D45" s="68" t="s">
        <v>28</v>
      </c>
      <c r="E45" s="68" t="n">
        <v>2024</v>
      </c>
      <c r="F45" s="68" t="s">
        <v>797</v>
      </c>
      <c r="G45" s="68" t="s">
        <v>846</v>
      </c>
      <c r="H45" s="68" t="n">
        <v>115.85</v>
      </c>
      <c r="I45" s="68" t="n">
        <v>65.3</v>
      </c>
      <c r="J45" s="68" t="n">
        <v>4.51</v>
      </c>
      <c r="K45" s="68" t="n">
        <v>713</v>
      </c>
    </row>
    <row r="46" customFormat="false" ht="14.25" hidden="false" customHeight="true" outlineLevel="0" collapsed="false">
      <c r="A46" s="68" t="s">
        <v>844</v>
      </c>
      <c r="B46" s="68" t="n">
        <v>1044</v>
      </c>
      <c r="C46" s="68" t="s">
        <v>27</v>
      </c>
      <c r="D46" s="68" t="s">
        <v>28</v>
      </c>
      <c r="E46" s="68" t="n">
        <v>2024</v>
      </c>
      <c r="F46" s="68" t="s">
        <v>805</v>
      </c>
      <c r="G46" s="68" t="s">
        <v>845</v>
      </c>
      <c r="H46" s="68" t="n">
        <v>119.05</v>
      </c>
      <c r="I46" s="68" t="n">
        <v>53.6</v>
      </c>
      <c r="J46" s="68" t="n">
        <v>4.05</v>
      </c>
      <c r="K46" s="68" t="n">
        <v>235</v>
      </c>
    </row>
    <row r="47" customFormat="false" ht="14.25" hidden="false" customHeight="true" outlineLevel="0" collapsed="false">
      <c r="A47" s="68" t="s">
        <v>844</v>
      </c>
      <c r="B47" s="68" t="n">
        <v>1045</v>
      </c>
      <c r="C47" s="68" t="s">
        <v>27</v>
      </c>
      <c r="D47" s="68" t="s">
        <v>28</v>
      </c>
      <c r="E47" s="68" t="n">
        <v>2024</v>
      </c>
      <c r="F47" s="68" t="s">
        <v>805</v>
      </c>
      <c r="G47" s="68" t="s">
        <v>846</v>
      </c>
      <c r="H47" s="68" t="n">
        <v>119.9</v>
      </c>
      <c r="I47" s="68" t="n">
        <v>69</v>
      </c>
      <c r="J47" s="68" t="n">
        <v>4.16</v>
      </c>
      <c r="K47" s="68" t="n">
        <v>570</v>
      </c>
    </row>
    <row r="48" customFormat="false" ht="14.25" hidden="false" customHeight="true" outlineLevel="0" collapsed="false">
      <c r="A48" s="68" t="s">
        <v>844</v>
      </c>
      <c r="B48" s="68" t="n">
        <v>1046</v>
      </c>
      <c r="C48" s="68" t="s">
        <v>27</v>
      </c>
      <c r="D48" s="68" t="s">
        <v>28</v>
      </c>
      <c r="E48" s="68" t="n">
        <v>2024</v>
      </c>
      <c r="F48" s="68" t="s">
        <v>798</v>
      </c>
      <c r="G48" s="68" t="s">
        <v>846</v>
      </c>
      <c r="H48" s="68" t="n">
        <v>161.11</v>
      </c>
      <c r="I48" s="68" t="n">
        <v>64.6</v>
      </c>
      <c r="J48" s="68" t="n">
        <v>4.38</v>
      </c>
      <c r="K48" s="68" t="n">
        <v>874</v>
      </c>
    </row>
    <row r="49" customFormat="false" ht="14.25" hidden="false" customHeight="true" outlineLevel="0" collapsed="false">
      <c r="A49" s="68" t="s">
        <v>844</v>
      </c>
      <c r="B49" s="68" t="n">
        <v>1047</v>
      </c>
      <c r="C49" s="68" t="s">
        <v>27</v>
      </c>
      <c r="D49" s="68" t="s">
        <v>28</v>
      </c>
      <c r="E49" s="68" t="n">
        <v>2025</v>
      </c>
      <c r="F49" s="68" t="s">
        <v>797</v>
      </c>
      <c r="G49" s="68" t="s">
        <v>845</v>
      </c>
      <c r="H49" s="68" t="n">
        <v>106.37</v>
      </c>
      <c r="I49" s="68" t="n">
        <v>31.7</v>
      </c>
      <c r="J49" s="68" t="n">
        <v>3.94</v>
      </c>
      <c r="K49" s="68" t="n">
        <v>215</v>
      </c>
    </row>
    <row r="50" customFormat="false" ht="14.25" hidden="false" customHeight="true" outlineLevel="0" collapsed="false">
      <c r="A50" s="68" t="s">
        <v>844</v>
      </c>
      <c r="B50" s="68" t="n">
        <v>1048</v>
      </c>
      <c r="C50" s="68" t="s">
        <v>27</v>
      </c>
      <c r="D50" s="68" t="s">
        <v>28</v>
      </c>
      <c r="E50" s="68" t="n">
        <v>2025</v>
      </c>
      <c r="F50" s="68" t="s">
        <v>797</v>
      </c>
      <c r="G50" s="68" t="s">
        <v>846</v>
      </c>
      <c r="H50" s="68" t="n">
        <v>128.23</v>
      </c>
      <c r="I50" s="68" t="n">
        <v>58</v>
      </c>
      <c r="J50" s="68" t="n">
        <v>4.4</v>
      </c>
      <c r="K50" s="68" t="n">
        <v>432</v>
      </c>
    </row>
    <row r="51" customFormat="false" ht="14.25" hidden="false" customHeight="true" outlineLevel="0" collapsed="false">
      <c r="A51" s="68" t="s">
        <v>844</v>
      </c>
      <c r="B51" s="68" t="n">
        <v>1049</v>
      </c>
      <c r="C51" s="68" t="s">
        <v>27</v>
      </c>
      <c r="D51" s="68" t="s">
        <v>28</v>
      </c>
      <c r="E51" s="68" t="n">
        <v>2025</v>
      </c>
      <c r="F51" s="68" t="s">
        <v>805</v>
      </c>
      <c r="G51" s="68" t="s">
        <v>845</v>
      </c>
      <c r="H51" s="68" t="n">
        <v>127.23</v>
      </c>
      <c r="I51" s="68" t="n">
        <v>59.7</v>
      </c>
      <c r="J51" s="68" t="n">
        <v>3.88</v>
      </c>
      <c r="K51" s="68" t="n">
        <v>590</v>
      </c>
    </row>
    <row r="52" customFormat="false" ht="14.25" hidden="false" customHeight="true" outlineLevel="0" collapsed="false">
      <c r="A52" s="68" t="s">
        <v>844</v>
      </c>
      <c r="B52" s="68" t="n">
        <v>1050</v>
      </c>
      <c r="C52" s="68" t="s">
        <v>27</v>
      </c>
      <c r="D52" s="68" t="s">
        <v>28</v>
      </c>
      <c r="E52" s="68" t="n">
        <v>2025</v>
      </c>
      <c r="F52" s="68" t="s">
        <v>805</v>
      </c>
      <c r="G52" s="68" t="s">
        <v>846</v>
      </c>
      <c r="H52" s="68" t="n">
        <v>116.47</v>
      </c>
      <c r="I52" s="68" t="n">
        <v>47.4</v>
      </c>
      <c r="J52" s="68" t="n">
        <v>4.85</v>
      </c>
      <c r="K52" s="68" t="n">
        <v>298</v>
      </c>
    </row>
    <row r="53" customFormat="false" ht="14.25" hidden="false" customHeight="true" outlineLevel="0" collapsed="false">
      <c r="A53" s="68" t="s">
        <v>844</v>
      </c>
      <c r="B53" s="68" t="n">
        <v>1051</v>
      </c>
      <c r="C53" s="68" t="s">
        <v>31</v>
      </c>
      <c r="D53" s="68" t="s">
        <v>32</v>
      </c>
      <c r="E53" s="68" t="n">
        <v>2022</v>
      </c>
      <c r="F53" s="68" t="s">
        <v>797</v>
      </c>
      <c r="G53" s="68" t="s">
        <v>845</v>
      </c>
      <c r="H53" s="68" t="n">
        <v>119.58</v>
      </c>
      <c r="I53" s="68" t="n">
        <v>25.4</v>
      </c>
      <c r="J53" s="68" t="n">
        <v>4.02</v>
      </c>
      <c r="K53" s="68" t="n">
        <v>23</v>
      </c>
    </row>
    <row r="54" customFormat="false" ht="14.25" hidden="false" customHeight="true" outlineLevel="0" collapsed="false">
      <c r="A54" s="68" t="s">
        <v>844</v>
      </c>
      <c r="B54" s="68" t="n">
        <v>1052</v>
      </c>
      <c r="C54" s="68" t="s">
        <v>31</v>
      </c>
      <c r="D54" s="68" t="s">
        <v>32</v>
      </c>
      <c r="E54" s="68" t="n">
        <v>2022</v>
      </c>
      <c r="F54" s="68" t="s">
        <v>797</v>
      </c>
      <c r="G54" s="68" t="s">
        <v>846</v>
      </c>
      <c r="H54" s="68" t="n">
        <v>103.84</v>
      </c>
      <c r="I54" s="68" t="n">
        <v>56.6</v>
      </c>
      <c r="J54" s="68" t="n">
        <v>4.47</v>
      </c>
      <c r="K54" s="68" t="n">
        <v>755</v>
      </c>
    </row>
    <row r="55" customFormat="false" ht="14.25" hidden="false" customHeight="true" outlineLevel="0" collapsed="false">
      <c r="A55" s="68" t="s">
        <v>844</v>
      </c>
      <c r="B55" s="68" t="n">
        <v>1053</v>
      </c>
      <c r="C55" s="68" t="s">
        <v>31</v>
      </c>
      <c r="D55" s="68" t="s">
        <v>32</v>
      </c>
      <c r="E55" s="68" t="n">
        <v>2022</v>
      </c>
      <c r="F55" s="68" t="s">
        <v>805</v>
      </c>
      <c r="G55" s="68" t="s">
        <v>846</v>
      </c>
      <c r="H55" s="68" t="n">
        <v>91.11</v>
      </c>
      <c r="I55" s="68" t="n">
        <v>47.3</v>
      </c>
      <c r="J55" s="68" t="n">
        <v>4.46</v>
      </c>
      <c r="K55" s="68" t="n">
        <v>107</v>
      </c>
    </row>
    <row r="56" customFormat="false" ht="14.25" hidden="false" customHeight="true" outlineLevel="0" collapsed="false">
      <c r="A56" s="68" t="s">
        <v>844</v>
      </c>
      <c r="B56" s="68" t="n">
        <v>1054</v>
      </c>
      <c r="C56" s="68" t="s">
        <v>31</v>
      </c>
      <c r="D56" s="68" t="s">
        <v>32</v>
      </c>
      <c r="E56" s="68" t="n">
        <v>2022</v>
      </c>
      <c r="F56" s="68" t="s">
        <v>798</v>
      </c>
      <c r="G56" s="68" t="s">
        <v>845</v>
      </c>
      <c r="H56" s="68" t="n">
        <v>96.02</v>
      </c>
      <c r="I56" s="68" t="n">
        <v>44.4</v>
      </c>
      <c r="J56" s="68" t="n">
        <v>4.11</v>
      </c>
      <c r="K56" s="68" t="n">
        <v>146</v>
      </c>
    </row>
    <row r="57" customFormat="false" ht="14.25" hidden="false" customHeight="true" outlineLevel="0" collapsed="false">
      <c r="A57" s="68" t="s">
        <v>844</v>
      </c>
      <c r="B57" s="68" t="n">
        <v>1055</v>
      </c>
      <c r="C57" s="68" t="s">
        <v>31</v>
      </c>
      <c r="D57" s="68" t="s">
        <v>32</v>
      </c>
      <c r="E57" s="68" t="n">
        <v>2022</v>
      </c>
      <c r="F57" s="68" t="s">
        <v>798</v>
      </c>
      <c r="G57" s="68" t="s">
        <v>846</v>
      </c>
      <c r="H57" s="68" t="n">
        <v>99.74</v>
      </c>
      <c r="I57" s="68" t="n">
        <v>71.8</v>
      </c>
      <c r="J57" s="68" t="n">
        <v>4.31</v>
      </c>
      <c r="K57" s="68" t="n">
        <v>755</v>
      </c>
    </row>
    <row r="58" customFormat="false" ht="14.25" hidden="false" customHeight="true" outlineLevel="0" collapsed="false">
      <c r="A58" s="68" t="s">
        <v>844</v>
      </c>
      <c r="B58" s="68" t="n">
        <v>1056</v>
      </c>
      <c r="C58" s="68" t="s">
        <v>31</v>
      </c>
      <c r="D58" s="68" t="s">
        <v>32</v>
      </c>
      <c r="E58" s="68" t="n">
        <v>2022</v>
      </c>
      <c r="F58" s="68" t="s">
        <v>801</v>
      </c>
      <c r="G58" s="68" t="s">
        <v>845</v>
      </c>
      <c r="H58" s="68" t="n">
        <v>129.06</v>
      </c>
      <c r="I58" s="68" t="n">
        <v>28.2</v>
      </c>
      <c r="J58" s="68" t="n">
        <v>4.31</v>
      </c>
      <c r="K58" s="68" t="n">
        <v>487</v>
      </c>
    </row>
    <row r="59" customFormat="false" ht="14.25" hidden="false" customHeight="true" outlineLevel="0" collapsed="false">
      <c r="A59" s="68" t="s">
        <v>844</v>
      </c>
      <c r="B59" s="68" t="n">
        <v>1057</v>
      </c>
      <c r="C59" s="68" t="s">
        <v>31</v>
      </c>
      <c r="D59" s="68" t="s">
        <v>32</v>
      </c>
      <c r="E59" s="68" t="n">
        <v>2022</v>
      </c>
      <c r="F59" s="68" t="s">
        <v>801</v>
      </c>
      <c r="G59" s="68" t="s">
        <v>846</v>
      </c>
      <c r="H59" s="68" t="n">
        <v>141.46</v>
      </c>
      <c r="I59" s="68" t="n">
        <v>56.3</v>
      </c>
      <c r="J59" s="68" t="n">
        <v>4.68</v>
      </c>
      <c r="K59" s="68" t="n">
        <v>305</v>
      </c>
    </row>
    <row r="60" customFormat="false" ht="14.25" hidden="false" customHeight="true" outlineLevel="0" collapsed="false">
      <c r="A60" s="68" t="s">
        <v>844</v>
      </c>
      <c r="B60" s="68" t="n">
        <v>1058</v>
      </c>
      <c r="C60" s="68" t="s">
        <v>31</v>
      </c>
      <c r="D60" s="68" t="s">
        <v>32</v>
      </c>
      <c r="E60" s="68" t="n">
        <v>2023</v>
      </c>
      <c r="F60" s="68" t="s">
        <v>797</v>
      </c>
      <c r="G60" s="68" t="s">
        <v>845</v>
      </c>
      <c r="H60" s="68" t="n">
        <v>129.08</v>
      </c>
      <c r="I60" s="68" t="n">
        <v>43.1</v>
      </c>
      <c r="J60" s="68" t="n">
        <v>3.98</v>
      </c>
      <c r="K60" s="68" t="n">
        <v>160</v>
      </c>
    </row>
    <row r="61" customFormat="false" ht="14.25" hidden="false" customHeight="true" outlineLevel="0" collapsed="false">
      <c r="A61" s="68" t="s">
        <v>844</v>
      </c>
      <c r="B61" s="68" t="n">
        <v>1059</v>
      </c>
      <c r="C61" s="68" t="s">
        <v>31</v>
      </c>
      <c r="D61" s="68" t="s">
        <v>32</v>
      </c>
      <c r="E61" s="68" t="n">
        <v>2023</v>
      </c>
      <c r="F61" s="68" t="s">
        <v>797</v>
      </c>
      <c r="G61" s="68" t="s">
        <v>846</v>
      </c>
      <c r="H61" s="68" t="n">
        <v>103.06</v>
      </c>
      <c r="I61" s="68" t="n">
        <v>87.2</v>
      </c>
      <c r="J61" s="68" t="n">
        <v>4.44</v>
      </c>
      <c r="K61" s="68" t="n">
        <v>485</v>
      </c>
    </row>
    <row r="62" customFormat="false" ht="14.25" hidden="false" customHeight="true" outlineLevel="0" collapsed="false">
      <c r="A62" s="68" t="s">
        <v>844</v>
      </c>
      <c r="B62" s="68" t="n">
        <v>1060</v>
      </c>
      <c r="C62" s="68" t="s">
        <v>31</v>
      </c>
      <c r="D62" s="68" t="s">
        <v>32</v>
      </c>
      <c r="E62" s="68" t="n">
        <v>2023</v>
      </c>
      <c r="F62" s="68" t="s">
        <v>805</v>
      </c>
      <c r="G62" s="68" t="s">
        <v>846</v>
      </c>
      <c r="H62" s="68" t="n">
        <v>103</v>
      </c>
      <c r="I62" s="68" t="n">
        <v>41.2</v>
      </c>
      <c r="J62" s="68" t="n">
        <v>4.41</v>
      </c>
      <c r="K62" s="68" t="n">
        <v>864</v>
      </c>
    </row>
    <row r="63" customFormat="false" ht="14.25" hidden="false" customHeight="true" outlineLevel="0" collapsed="false">
      <c r="A63" s="68" t="s">
        <v>844</v>
      </c>
      <c r="B63" s="68" t="n">
        <v>1061</v>
      </c>
      <c r="C63" s="68" t="s">
        <v>31</v>
      </c>
      <c r="D63" s="68" t="s">
        <v>32</v>
      </c>
      <c r="E63" s="68" t="n">
        <v>2023</v>
      </c>
      <c r="F63" s="68" t="s">
        <v>798</v>
      </c>
      <c r="G63" s="68" t="s">
        <v>845</v>
      </c>
      <c r="H63" s="68" t="n">
        <v>115.77</v>
      </c>
      <c r="I63" s="68" t="n">
        <v>76.3</v>
      </c>
      <c r="J63" s="68" t="n">
        <v>4.13</v>
      </c>
      <c r="K63" s="68" t="n">
        <v>836</v>
      </c>
    </row>
    <row r="64" customFormat="false" ht="14.25" hidden="false" customHeight="true" outlineLevel="0" collapsed="false">
      <c r="A64" s="68" t="s">
        <v>844</v>
      </c>
      <c r="B64" s="68" t="n">
        <v>1062</v>
      </c>
      <c r="C64" s="68" t="s">
        <v>31</v>
      </c>
      <c r="D64" s="68" t="s">
        <v>32</v>
      </c>
      <c r="E64" s="68" t="n">
        <v>2023</v>
      </c>
      <c r="F64" s="68" t="s">
        <v>798</v>
      </c>
      <c r="G64" s="68" t="s">
        <v>846</v>
      </c>
      <c r="H64" s="68" t="n">
        <v>110.82</v>
      </c>
      <c r="I64" s="68" t="n">
        <v>54.1</v>
      </c>
      <c r="J64" s="68" t="n">
        <v>4.22</v>
      </c>
      <c r="K64" s="68" t="n">
        <v>866</v>
      </c>
    </row>
    <row r="65" customFormat="false" ht="14.25" hidden="false" customHeight="true" outlineLevel="0" collapsed="false">
      <c r="A65" s="68" t="s">
        <v>844</v>
      </c>
      <c r="B65" s="68" t="n">
        <v>1063</v>
      </c>
      <c r="C65" s="68" t="s">
        <v>31</v>
      </c>
      <c r="D65" s="68" t="s">
        <v>32</v>
      </c>
      <c r="E65" s="68" t="n">
        <v>2024</v>
      </c>
      <c r="F65" s="68" t="s">
        <v>797</v>
      </c>
      <c r="G65" s="68" t="s">
        <v>845</v>
      </c>
      <c r="H65" s="68" t="n">
        <v>111.29</v>
      </c>
      <c r="I65" s="68" t="n">
        <v>31.2</v>
      </c>
      <c r="J65" s="68" t="n">
        <v>4.26</v>
      </c>
      <c r="K65" s="68" t="n">
        <v>879</v>
      </c>
    </row>
    <row r="66" customFormat="false" ht="14.25" hidden="false" customHeight="true" outlineLevel="0" collapsed="false">
      <c r="A66" s="68" t="s">
        <v>844</v>
      </c>
      <c r="B66" s="68" t="n">
        <v>1064</v>
      </c>
      <c r="C66" s="68" t="s">
        <v>31</v>
      </c>
      <c r="D66" s="68" t="s">
        <v>32</v>
      </c>
      <c r="E66" s="68" t="n">
        <v>2024</v>
      </c>
      <c r="F66" s="68" t="s">
        <v>797</v>
      </c>
      <c r="G66" s="68" t="s">
        <v>846</v>
      </c>
      <c r="H66" s="68" t="n">
        <v>113.42</v>
      </c>
      <c r="I66" s="68" t="n">
        <v>34.7</v>
      </c>
      <c r="J66" s="68" t="n">
        <v>4.22</v>
      </c>
      <c r="K66" s="68" t="n">
        <v>208</v>
      </c>
    </row>
    <row r="67" customFormat="false" ht="14.25" hidden="false" customHeight="true" outlineLevel="0" collapsed="false">
      <c r="A67" s="68" t="s">
        <v>844</v>
      </c>
      <c r="B67" s="68" t="n">
        <v>1065</v>
      </c>
      <c r="C67" s="68" t="s">
        <v>31</v>
      </c>
      <c r="D67" s="68" t="s">
        <v>32</v>
      </c>
      <c r="E67" s="68" t="n">
        <v>2024</v>
      </c>
      <c r="F67" s="68" t="s">
        <v>805</v>
      </c>
      <c r="G67" s="68" t="s">
        <v>845</v>
      </c>
      <c r="H67" s="68" t="n">
        <v>126.84</v>
      </c>
      <c r="I67" s="68" t="n">
        <v>33.7</v>
      </c>
      <c r="J67" s="68" t="n">
        <v>4.45</v>
      </c>
      <c r="K67" s="68" t="n">
        <v>474</v>
      </c>
    </row>
    <row r="68" customFormat="false" ht="14.25" hidden="false" customHeight="true" outlineLevel="0" collapsed="false">
      <c r="A68" s="68" t="s">
        <v>844</v>
      </c>
      <c r="B68" s="68" t="n">
        <v>1066</v>
      </c>
      <c r="C68" s="68" t="s">
        <v>31</v>
      </c>
      <c r="D68" s="68" t="s">
        <v>32</v>
      </c>
      <c r="E68" s="68" t="n">
        <v>2024</v>
      </c>
      <c r="F68" s="68" t="s">
        <v>805</v>
      </c>
      <c r="G68" s="68" t="s">
        <v>846</v>
      </c>
      <c r="H68" s="68" t="n">
        <v>105.17</v>
      </c>
      <c r="I68" s="68" t="n">
        <v>61.2</v>
      </c>
      <c r="J68" s="68" t="n">
        <v>4.28</v>
      </c>
      <c r="K68" s="68" t="n">
        <v>555</v>
      </c>
    </row>
    <row r="69" customFormat="false" ht="14.25" hidden="false" customHeight="true" outlineLevel="0" collapsed="false">
      <c r="A69" s="68" t="s">
        <v>844</v>
      </c>
      <c r="B69" s="68" t="n">
        <v>1067</v>
      </c>
      <c r="C69" s="68" t="s">
        <v>31</v>
      </c>
      <c r="D69" s="68" t="s">
        <v>32</v>
      </c>
      <c r="E69" s="68" t="n">
        <v>2024</v>
      </c>
      <c r="F69" s="68" t="s">
        <v>798</v>
      </c>
      <c r="G69" s="68" t="s">
        <v>845</v>
      </c>
      <c r="H69" s="68" t="n">
        <v>114.65</v>
      </c>
      <c r="I69" s="68" t="n">
        <v>56.7</v>
      </c>
      <c r="J69" s="68" t="n">
        <v>4.46</v>
      </c>
      <c r="K69" s="68" t="n">
        <v>717</v>
      </c>
    </row>
    <row r="70" customFormat="false" ht="14.25" hidden="false" customHeight="true" outlineLevel="0" collapsed="false">
      <c r="A70" s="68" t="s">
        <v>844</v>
      </c>
      <c r="B70" s="68" t="n">
        <v>1068</v>
      </c>
      <c r="C70" s="68" t="s">
        <v>31</v>
      </c>
      <c r="D70" s="68" t="s">
        <v>32</v>
      </c>
      <c r="E70" s="68" t="n">
        <v>2024</v>
      </c>
      <c r="F70" s="68" t="s">
        <v>798</v>
      </c>
      <c r="G70" s="68" t="s">
        <v>846</v>
      </c>
      <c r="H70" s="68" t="n">
        <v>108.76</v>
      </c>
      <c r="I70" s="68" t="n">
        <v>56.7</v>
      </c>
      <c r="J70" s="68" t="n">
        <v>3.98</v>
      </c>
      <c r="K70" s="68" t="n">
        <v>354</v>
      </c>
    </row>
    <row r="71" customFormat="false" ht="14.25" hidden="false" customHeight="true" outlineLevel="0" collapsed="false">
      <c r="A71" s="68" t="s">
        <v>844</v>
      </c>
      <c r="B71" s="68" t="n">
        <v>1069</v>
      </c>
      <c r="C71" s="68" t="s">
        <v>31</v>
      </c>
      <c r="D71" s="68" t="s">
        <v>32</v>
      </c>
      <c r="E71" s="68" t="n">
        <v>2024</v>
      </c>
      <c r="F71" s="68" t="s">
        <v>801</v>
      </c>
      <c r="G71" s="68" t="s">
        <v>845</v>
      </c>
      <c r="H71" s="68" t="n">
        <v>131.62</v>
      </c>
      <c r="I71" s="68" t="n">
        <v>55.6</v>
      </c>
      <c r="J71" s="68" t="n">
        <v>4.46</v>
      </c>
      <c r="K71" s="68" t="n">
        <v>239</v>
      </c>
    </row>
    <row r="72" customFormat="false" ht="14.25" hidden="false" customHeight="true" outlineLevel="0" collapsed="false">
      <c r="A72" s="68" t="s">
        <v>844</v>
      </c>
      <c r="B72" s="68" t="n">
        <v>1070</v>
      </c>
      <c r="C72" s="68" t="s">
        <v>31</v>
      </c>
      <c r="D72" s="68" t="s">
        <v>32</v>
      </c>
      <c r="E72" s="68" t="n">
        <v>2024</v>
      </c>
      <c r="F72" s="68" t="s">
        <v>801</v>
      </c>
      <c r="G72" s="68" t="s">
        <v>846</v>
      </c>
      <c r="H72" s="68" t="n">
        <v>125.39</v>
      </c>
      <c r="I72" s="68" t="n">
        <v>67.5</v>
      </c>
      <c r="J72" s="68" t="n">
        <v>4.64</v>
      </c>
      <c r="K72" s="68" t="n">
        <v>664</v>
      </c>
    </row>
    <row r="73" customFormat="false" ht="14.25" hidden="false" customHeight="true" outlineLevel="0" collapsed="false">
      <c r="A73" s="68" t="s">
        <v>844</v>
      </c>
      <c r="B73" s="68" t="n">
        <v>1071</v>
      </c>
      <c r="C73" s="68" t="s">
        <v>31</v>
      </c>
      <c r="D73" s="68" t="s">
        <v>32</v>
      </c>
      <c r="E73" s="68" t="n">
        <v>2025</v>
      </c>
      <c r="F73" s="68" t="s">
        <v>797</v>
      </c>
      <c r="G73" s="68" t="s">
        <v>845</v>
      </c>
      <c r="H73" s="68" t="n">
        <v>114.25</v>
      </c>
      <c r="I73" s="68" t="n">
        <v>65.4</v>
      </c>
      <c r="J73" s="68" t="n">
        <v>3.9</v>
      </c>
      <c r="K73" s="68" t="n">
        <v>584</v>
      </c>
    </row>
    <row r="74" customFormat="false" ht="14.25" hidden="false" customHeight="true" outlineLevel="0" collapsed="false">
      <c r="A74" s="68" t="s">
        <v>844</v>
      </c>
      <c r="B74" s="68" t="n">
        <v>1072</v>
      </c>
      <c r="C74" s="68" t="s">
        <v>31</v>
      </c>
      <c r="D74" s="68" t="s">
        <v>32</v>
      </c>
      <c r="E74" s="68" t="n">
        <v>2025</v>
      </c>
      <c r="F74" s="68" t="s">
        <v>805</v>
      </c>
      <c r="G74" s="68" t="s">
        <v>846</v>
      </c>
      <c r="H74" s="68" t="n">
        <v>121.29</v>
      </c>
      <c r="I74" s="68" t="n">
        <v>69.9</v>
      </c>
      <c r="J74" s="68" t="n">
        <v>4.14</v>
      </c>
      <c r="K74" s="68" t="n">
        <v>283</v>
      </c>
    </row>
    <row r="75" customFormat="false" ht="14.25" hidden="false" customHeight="true" outlineLevel="0" collapsed="false">
      <c r="A75" s="68" t="s">
        <v>844</v>
      </c>
      <c r="B75" s="68" t="n">
        <v>1073</v>
      </c>
      <c r="C75" s="68" t="s">
        <v>31</v>
      </c>
      <c r="D75" s="68" t="s">
        <v>32</v>
      </c>
      <c r="E75" s="68" t="n">
        <v>2025</v>
      </c>
      <c r="F75" s="68" t="s">
        <v>798</v>
      </c>
      <c r="G75" s="68" t="s">
        <v>845</v>
      </c>
      <c r="H75" s="68" t="n">
        <v>135.6</v>
      </c>
      <c r="I75" s="68" t="n">
        <v>63.4</v>
      </c>
      <c r="J75" s="68" t="n">
        <v>4.64</v>
      </c>
      <c r="K75" s="68" t="n">
        <v>616</v>
      </c>
    </row>
    <row r="76" customFormat="false" ht="14.25" hidden="false" customHeight="true" outlineLevel="0" collapsed="false">
      <c r="A76" s="68" t="s">
        <v>844</v>
      </c>
      <c r="B76" s="68" t="n">
        <v>1074</v>
      </c>
      <c r="C76" s="68" t="s">
        <v>35</v>
      </c>
      <c r="D76" s="68" t="s">
        <v>36</v>
      </c>
      <c r="E76" s="68" t="n">
        <v>2022</v>
      </c>
      <c r="F76" s="68" t="s">
        <v>797</v>
      </c>
      <c r="G76" s="68" t="s">
        <v>845</v>
      </c>
      <c r="H76" s="68" t="n">
        <v>103.23</v>
      </c>
      <c r="I76" s="68" t="n">
        <v>62.3</v>
      </c>
      <c r="J76" s="68" t="n">
        <v>4.18</v>
      </c>
      <c r="K76" s="68" t="n">
        <v>326</v>
      </c>
    </row>
    <row r="77" customFormat="false" ht="14.25" hidden="false" customHeight="true" outlineLevel="0" collapsed="false">
      <c r="A77" s="68" t="s">
        <v>844</v>
      </c>
      <c r="B77" s="68" t="n">
        <v>1075</v>
      </c>
      <c r="C77" s="68" t="s">
        <v>35</v>
      </c>
      <c r="D77" s="68" t="s">
        <v>36</v>
      </c>
      <c r="E77" s="68" t="n">
        <v>2022</v>
      </c>
      <c r="F77" s="68" t="s">
        <v>805</v>
      </c>
      <c r="G77" s="68" t="s">
        <v>845</v>
      </c>
      <c r="H77" s="68" t="n">
        <v>102.49</v>
      </c>
      <c r="I77" s="68" t="n">
        <v>68.1</v>
      </c>
      <c r="J77" s="68" t="n">
        <v>4.12</v>
      </c>
      <c r="K77" s="68" t="n">
        <v>418</v>
      </c>
    </row>
    <row r="78" customFormat="false" ht="14.25" hidden="false" customHeight="true" outlineLevel="0" collapsed="false">
      <c r="A78" s="68" t="s">
        <v>844</v>
      </c>
      <c r="B78" s="68" t="n">
        <v>1076</v>
      </c>
      <c r="C78" s="68" t="s">
        <v>35</v>
      </c>
      <c r="D78" s="68" t="s">
        <v>36</v>
      </c>
      <c r="E78" s="68" t="n">
        <v>2022</v>
      </c>
      <c r="F78" s="68" t="s">
        <v>805</v>
      </c>
      <c r="G78" s="68" t="s">
        <v>846</v>
      </c>
      <c r="H78" s="68" t="n">
        <v>109.4</v>
      </c>
      <c r="I78" s="68" t="n">
        <v>63.6</v>
      </c>
      <c r="J78" s="68" t="n">
        <v>4.27</v>
      </c>
      <c r="K78" s="68" t="n">
        <v>220</v>
      </c>
    </row>
    <row r="79" customFormat="false" ht="14.25" hidden="false" customHeight="true" outlineLevel="0" collapsed="false">
      <c r="A79" s="68" t="s">
        <v>844</v>
      </c>
      <c r="B79" s="68" t="n">
        <v>1077</v>
      </c>
      <c r="C79" s="68" t="s">
        <v>35</v>
      </c>
      <c r="D79" s="68" t="s">
        <v>36</v>
      </c>
      <c r="E79" s="68" t="n">
        <v>2022</v>
      </c>
      <c r="F79" s="68" t="s">
        <v>798</v>
      </c>
      <c r="G79" s="68" t="s">
        <v>846</v>
      </c>
      <c r="H79" s="68" t="n">
        <v>113.02</v>
      </c>
      <c r="I79" s="68" t="n">
        <v>42.9</v>
      </c>
      <c r="J79" s="68" t="n">
        <v>4.4</v>
      </c>
      <c r="K79" s="68" t="n">
        <v>659</v>
      </c>
    </row>
    <row r="80" customFormat="false" ht="14.25" hidden="false" customHeight="true" outlineLevel="0" collapsed="false">
      <c r="A80" s="68" t="s">
        <v>844</v>
      </c>
      <c r="B80" s="68" t="n">
        <v>1078</v>
      </c>
      <c r="C80" s="68" t="s">
        <v>35</v>
      </c>
      <c r="D80" s="68" t="s">
        <v>36</v>
      </c>
      <c r="E80" s="68" t="n">
        <v>2022</v>
      </c>
      <c r="F80" s="68" t="s">
        <v>801</v>
      </c>
      <c r="G80" s="68" t="s">
        <v>845</v>
      </c>
      <c r="H80" s="68" t="n">
        <v>127.37</v>
      </c>
      <c r="I80" s="68" t="n">
        <v>84</v>
      </c>
      <c r="J80" s="68" t="n">
        <v>4.26</v>
      </c>
      <c r="K80" s="68" t="n">
        <v>498</v>
      </c>
    </row>
    <row r="81" customFormat="false" ht="14.25" hidden="false" customHeight="true" outlineLevel="0" collapsed="false">
      <c r="A81" s="68" t="s">
        <v>844</v>
      </c>
      <c r="B81" s="68" t="n">
        <v>1079</v>
      </c>
      <c r="C81" s="68" t="s">
        <v>35</v>
      </c>
      <c r="D81" s="68" t="s">
        <v>36</v>
      </c>
      <c r="E81" s="68" t="n">
        <v>2022</v>
      </c>
      <c r="F81" s="68" t="s">
        <v>801</v>
      </c>
      <c r="G81" s="68" t="s">
        <v>846</v>
      </c>
      <c r="H81" s="68" t="n">
        <v>133.37</v>
      </c>
      <c r="I81" s="68" t="n">
        <v>23.3</v>
      </c>
      <c r="J81" s="68" t="n">
        <v>3.95</v>
      </c>
      <c r="K81" s="68" t="n">
        <v>397</v>
      </c>
    </row>
    <row r="82" customFormat="false" ht="14.25" hidden="false" customHeight="true" outlineLevel="0" collapsed="false">
      <c r="A82" s="68" t="s">
        <v>844</v>
      </c>
      <c r="B82" s="68" t="n">
        <v>1080</v>
      </c>
      <c r="C82" s="68" t="s">
        <v>35</v>
      </c>
      <c r="D82" s="68" t="s">
        <v>36</v>
      </c>
      <c r="E82" s="68" t="n">
        <v>2023</v>
      </c>
      <c r="F82" s="68" t="s">
        <v>797</v>
      </c>
      <c r="G82" s="68" t="s">
        <v>845</v>
      </c>
      <c r="H82" s="68" t="n">
        <v>115</v>
      </c>
      <c r="I82" s="68" t="n">
        <v>38.2</v>
      </c>
      <c r="J82" s="68" t="n">
        <v>5</v>
      </c>
      <c r="K82" s="68" t="n">
        <v>292</v>
      </c>
    </row>
    <row r="83" customFormat="false" ht="14.25" hidden="false" customHeight="true" outlineLevel="0" collapsed="false">
      <c r="A83" s="68" t="s">
        <v>844</v>
      </c>
      <c r="B83" s="68" t="n">
        <v>1081</v>
      </c>
      <c r="C83" s="68" t="s">
        <v>35</v>
      </c>
      <c r="D83" s="68" t="s">
        <v>36</v>
      </c>
      <c r="E83" s="68" t="n">
        <v>2023</v>
      </c>
      <c r="F83" s="68" t="s">
        <v>805</v>
      </c>
      <c r="G83" s="68" t="s">
        <v>845</v>
      </c>
      <c r="H83" s="68" t="n">
        <v>115.99</v>
      </c>
      <c r="I83" s="68" t="n">
        <v>58.3</v>
      </c>
      <c r="J83" s="68" t="n">
        <v>4.66</v>
      </c>
      <c r="K83" s="68" t="n">
        <v>464</v>
      </c>
    </row>
    <row r="84" customFormat="false" ht="14.25" hidden="false" customHeight="true" outlineLevel="0" collapsed="false">
      <c r="A84" s="68" t="s">
        <v>844</v>
      </c>
      <c r="B84" s="68" t="n">
        <v>1082</v>
      </c>
      <c r="C84" s="68" t="s">
        <v>35</v>
      </c>
      <c r="D84" s="68" t="s">
        <v>36</v>
      </c>
      <c r="E84" s="68" t="n">
        <v>2023</v>
      </c>
      <c r="F84" s="68" t="s">
        <v>798</v>
      </c>
      <c r="G84" s="68" t="s">
        <v>846</v>
      </c>
      <c r="H84" s="68" t="n">
        <v>126.39</v>
      </c>
      <c r="I84" s="68" t="n">
        <v>34.8</v>
      </c>
      <c r="J84" s="68" t="n">
        <v>3.78</v>
      </c>
      <c r="K84" s="68" t="n">
        <v>505</v>
      </c>
    </row>
    <row r="85" customFormat="false" ht="14.25" hidden="false" customHeight="true" outlineLevel="0" collapsed="false">
      <c r="A85" s="68" t="s">
        <v>844</v>
      </c>
      <c r="B85" s="68" t="n">
        <v>1083</v>
      </c>
      <c r="C85" s="68" t="s">
        <v>35</v>
      </c>
      <c r="D85" s="68" t="s">
        <v>36</v>
      </c>
      <c r="E85" s="68" t="n">
        <v>2023</v>
      </c>
      <c r="F85" s="68" t="s">
        <v>801</v>
      </c>
      <c r="G85" s="68" t="s">
        <v>845</v>
      </c>
      <c r="H85" s="68" t="n">
        <v>115.48</v>
      </c>
      <c r="I85" s="68" t="n">
        <v>45.9</v>
      </c>
      <c r="J85" s="68" t="n">
        <v>4.4</v>
      </c>
      <c r="K85" s="68" t="n">
        <v>494</v>
      </c>
    </row>
    <row r="86" customFormat="false" ht="14.25" hidden="false" customHeight="true" outlineLevel="0" collapsed="false">
      <c r="A86" s="68" t="s">
        <v>844</v>
      </c>
      <c r="B86" s="68" t="n">
        <v>1084</v>
      </c>
      <c r="C86" s="68" t="s">
        <v>35</v>
      </c>
      <c r="D86" s="68" t="s">
        <v>36</v>
      </c>
      <c r="E86" s="68" t="n">
        <v>2023</v>
      </c>
      <c r="F86" s="68" t="s">
        <v>801</v>
      </c>
      <c r="G86" s="68" t="s">
        <v>846</v>
      </c>
      <c r="H86" s="68" t="n">
        <v>129.75</v>
      </c>
      <c r="I86" s="68" t="n">
        <v>79.8</v>
      </c>
      <c r="J86" s="68" t="n">
        <v>4.34</v>
      </c>
      <c r="K86" s="68" t="n">
        <v>262</v>
      </c>
    </row>
    <row r="87" customFormat="false" ht="14.25" hidden="false" customHeight="true" outlineLevel="0" collapsed="false">
      <c r="A87" s="68" t="s">
        <v>844</v>
      </c>
      <c r="B87" s="68" t="n">
        <v>1085</v>
      </c>
      <c r="C87" s="68" t="s">
        <v>35</v>
      </c>
      <c r="D87" s="68" t="s">
        <v>36</v>
      </c>
      <c r="E87" s="68" t="n">
        <v>2024</v>
      </c>
      <c r="F87" s="68" t="s">
        <v>797</v>
      </c>
      <c r="G87" s="68" t="s">
        <v>845</v>
      </c>
      <c r="H87" s="68" t="n">
        <v>127.54</v>
      </c>
      <c r="I87" s="68" t="n">
        <v>57</v>
      </c>
      <c r="J87" s="68" t="n">
        <v>4.61</v>
      </c>
      <c r="K87" s="68" t="n">
        <v>616</v>
      </c>
    </row>
    <row r="88" customFormat="false" ht="14.25" hidden="false" customHeight="true" outlineLevel="0" collapsed="false">
      <c r="A88" s="68" t="s">
        <v>844</v>
      </c>
      <c r="B88" s="68" t="n">
        <v>1086</v>
      </c>
      <c r="C88" s="68" t="s">
        <v>35</v>
      </c>
      <c r="D88" s="68" t="s">
        <v>36</v>
      </c>
      <c r="E88" s="68" t="n">
        <v>2024</v>
      </c>
      <c r="F88" s="68" t="s">
        <v>797</v>
      </c>
      <c r="G88" s="68" t="s">
        <v>846</v>
      </c>
      <c r="H88" s="68" t="n">
        <v>118.92</v>
      </c>
      <c r="I88" s="68" t="n">
        <v>18.6</v>
      </c>
      <c r="J88" s="68" t="n">
        <v>4.67</v>
      </c>
      <c r="K88" s="68" t="n">
        <v>772</v>
      </c>
    </row>
    <row r="89" customFormat="false" ht="14.25" hidden="false" customHeight="true" outlineLevel="0" collapsed="false">
      <c r="A89" s="68" t="s">
        <v>844</v>
      </c>
      <c r="B89" s="68" t="n">
        <v>1087</v>
      </c>
      <c r="C89" s="68" t="s">
        <v>35</v>
      </c>
      <c r="D89" s="68" t="s">
        <v>36</v>
      </c>
      <c r="E89" s="68" t="n">
        <v>2024</v>
      </c>
      <c r="F89" s="68" t="s">
        <v>805</v>
      </c>
      <c r="G89" s="68" t="s">
        <v>845</v>
      </c>
      <c r="H89" s="68" t="n">
        <v>126.4</v>
      </c>
      <c r="I89" s="68" t="n">
        <v>61.9</v>
      </c>
      <c r="J89" s="68" t="n">
        <v>4.45</v>
      </c>
      <c r="K89" s="68" t="n">
        <v>746</v>
      </c>
    </row>
    <row r="90" customFormat="false" ht="14.25" hidden="false" customHeight="true" outlineLevel="0" collapsed="false">
      <c r="A90" s="68" t="s">
        <v>844</v>
      </c>
      <c r="B90" s="68" t="n">
        <v>1088</v>
      </c>
      <c r="C90" s="68" t="s">
        <v>35</v>
      </c>
      <c r="D90" s="68" t="s">
        <v>36</v>
      </c>
      <c r="E90" s="68" t="n">
        <v>2024</v>
      </c>
      <c r="F90" s="68" t="s">
        <v>805</v>
      </c>
      <c r="G90" s="68" t="s">
        <v>846</v>
      </c>
      <c r="H90" s="68" t="n">
        <v>106.36</v>
      </c>
      <c r="I90" s="68" t="n">
        <v>55.9</v>
      </c>
      <c r="J90" s="68" t="n">
        <v>4.77</v>
      </c>
      <c r="K90" s="68" t="n">
        <v>549</v>
      </c>
    </row>
    <row r="91" customFormat="false" ht="14.25" hidden="false" customHeight="true" outlineLevel="0" collapsed="false">
      <c r="A91" s="68" t="s">
        <v>844</v>
      </c>
      <c r="B91" s="68" t="n">
        <v>1089</v>
      </c>
      <c r="C91" s="68" t="s">
        <v>35</v>
      </c>
      <c r="D91" s="68" t="s">
        <v>36</v>
      </c>
      <c r="E91" s="68" t="n">
        <v>2024</v>
      </c>
      <c r="F91" s="68" t="s">
        <v>798</v>
      </c>
      <c r="G91" s="68" t="s">
        <v>846</v>
      </c>
      <c r="H91" s="68" t="n">
        <v>98.4</v>
      </c>
      <c r="I91" s="68" t="n">
        <v>56</v>
      </c>
      <c r="J91" s="68" t="n">
        <v>3.66</v>
      </c>
      <c r="K91" s="68" t="n">
        <v>81</v>
      </c>
    </row>
    <row r="92" customFormat="false" ht="14.25" hidden="false" customHeight="true" outlineLevel="0" collapsed="false">
      <c r="A92" s="68" t="s">
        <v>844</v>
      </c>
      <c r="B92" s="68" t="n">
        <v>1090</v>
      </c>
      <c r="C92" s="68" t="s">
        <v>35</v>
      </c>
      <c r="D92" s="68" t="s">
        <v>36</v>
      </c>
      <c r="E92" s="68" t="n">
        <v>2024</v>
      </c>
      <c r="F92" s="68" t="s">
        <v>801</v>
      </c>
      <c r="G92" s="68" t="s">
        <v>845</v>
      </c>
      <c r="H92" s="68" t="n">
        <v>130.13</v>
      </c>
      <c r="I92" s="68" t="n">
        <v>72.1</v>
      </c>
      <c r="J92" s="68" t="n">
        <v>4.09</v>
      </c>
      <c r="K92" s="68" t="n">
        <v>722</v>
      </c>
    </row>
    <row r="93" customFormat="false" ht="14.25" hidden="false" customHeight="true" outlineLevel="0" collapsed="false">
      <c r="A93" s="68" t="s">
        <v>844</v>
      </c>
      <c r="B93" s="68" t="n">
        <v>1091</v>
      </c>
      <c r="C93" s="68" t="s">
        <v>35</v>
      </c>
      <c r="D93" s="68" t="s">
        <v>36</v>
      </c>
      <c r="E93" s="68" t="n">
        <v>2024</v>
      </c>
      <c r="F93" s="68" t="s">
        <v>801</v>
      </c>
      <c r="G93" s="68" t="s">
        <v>846</v>
      </c>
      <c r="H93" s="68" t="n">
        <v>131.86</v>
      </c>
      <c r="I93" s="68" t="n">
        <v>66.4</v>
      </c>
      <c r="J93" s="68" t="n">
        <v>4.06</v>
      </c>
      <c r="K93" s="68" t="n">
        <v>74</v>
      </c>
    </row>
    <row r="94" customFormat="false" ht="14.25" hidden="false" customHeight="true" outlineLevel="0" collapsed="false">
      <c r="A94" s="68" t="s">
        <v>844</v>
      </c>
      <c r="B94" s="68" t="n">
        <v>1092</v>
      </c>
      <c r="C94" s="68" t="s">
        <v>35</v>
      </c>
      <c r="D94" s="68" t="s">
        <v>36</v>
      </c>
      <c r="E94" s="68" t="n">
        <v>2025</v>
      </c>
      <c r="F94" s="68" t="s">
        <v>797</v>
      </c>
      <c r="G94" s="68" t="s">
        <v>845</v>
      </c>
      <c r="H94" s="68" t="n">
        <v>127.35</v>
      </c>
      <c r="I94" s="68" t="n">
        <v>92.3</v>
      </c>
      <c r="J94" s="68" t="n">
        <v>4.65</v>
      </c>
      <c r="K94" s="68" t="n">
        <v>306</v>
      </c>
    </row>
    <row r="95" customFormat="false" ht="14.25" hidden="false" customHeight="true" outlineLevel="0" collapsed="false">
      <c r="A95" s="68" t="s">
        <v>844</v>
      </c>
      <c r="B95" s="68" t="n">
        <v>1093</v>
      </c>
      <c r="C95" s="68" t="s">
        <v>35</v>
      </c>
      <c r="D95" s="68" t="s">
        <v>36</v>
      </c>
      <c r="E95" s="68" t="n">
        <v>2025</v>
      </c>
      <c r="F95" s="68" t="s">
        <v>797</v>
      </c>
      <c r="G95" s="68" t="s">
        <v>846</v>
      </c>
      <c r="H95" s="68" t="n">
        <v>132.46</v>
      </c>
      <c r="I95" s="68" t="n">
        <v>79.4</v>
      </c>
      <c r="J95" s="68" t="n">
        <v>4.23</v>
      </c>
      <c r="K95" s="68" t="n">
        <v>858</v>
      </c>
    </row>
    <row r="96" customFormat="false" ht="14.25" hidden="false" customHeight="true" outlineLevel="0" collapsed="false">
      <c r="A96" s="68" t="s">
        <v>844</v>
      </c>
      <c r="B96" s="68" t="n">
        <v>1094</v>
      </c>
      <c r="C96" s="68" t="s">
        <v>35</v>
      </c>
      <c r="D96" s="68" t="s">
        <v>36</v>
      </c>
      <c r="E96" s="68" t="n">
        <v>2025</v>
      </c>
      <c r="F96" s="68" t="s">
        <v>805</v>
      </c>
      <c r="G96" s="68" t="s">
        <v>846</v>
      </c>
      <c r="H96" s="68" t="n">
        <v>139.75</v>
      </c>
      <c r="I96" s="68" t="n">
        <v>63.3</v>
      </c>
      <c r="J96" s="68" t="n">
        <v>4.13</v>
      </c>
      <c r="K96" s="68" t="n">
        <v>715</v>
      </c>
    </row>
    <row r="97" customFormat="false" ht="14.25" hidden="false" customHeight="true" outlineLevel="0" collapsed="false">
      <c r="A97" s="68" t="s">
        <v>844</v>
      </c>
      <c r="B97" s="68" t="n">
        <v>1095</v>
      </c>
      <c r="C97" s="68" t="s">
        <v>35</v>
      </c>
      <c r="D97" s="68" t="s">
        <v>36</v>
      </c>
      <c r="E97" s="68" t="n">
        <v>2025</v>
      </c>
      <c r="F97" s="68" t="s">
        <v>798</v>
      </c>
      <c r="G97" s="68" t="s">
        <v>845</v>
      </c>
      <c r="H97" s="68" t="n">
        <v>143.94</v>
      </c>
      <c r="I97" s="68" t="n">
        <v>49.3</v>
      </c>
      <c r="J97" s="68" t="n">
        <v>4.01</v>
      </c>
      <c r="K97" s="68" t="n">
        <v>794</v>
      </c>
    </row>
    <row r="98" customFormat="false" ht="14.25" hidden="false" customHeight="true" outlineLevel="0" collapsed="false">
      <c r="A98" s="68" t="s">
        <v>844</v>
      </c>
      <c r="B98" s="68" t="n">
        <v>1096</v>
      </c>
      <c r="C98" s="68" t="s">
        <v>35</v>
      </c>
      <c r="D98" s="68" t="s">
        <v>36</v>
      </c>
      <c r="E98" s="68" t="n">
        <v>2025</v>
      </c>
      <c r="F98" s="68" t="s">
        <v>798</v>
      </c>
      <c r="G98" s="68" t="s">
        <v>846</v>
      </c>
      <c r="H98" s="68" t="n">
        <v>140.18</v>
      </c>
      <c r="I98" s="68" t="n">
        <v>32.7</v>
      </c>
      <c r="J98" s="68" t="n">
        <v>4.34</v>
      </c>
      <c r="K98" s="68" t="n">
        <v>380</v>
      </c>
    </row>
    <row r="99" customFormat="false" ht="14.25" hidden="false" customHeight="true" outlineLevel="0" collapsed="false">
      <c r="A99" s="68" t="s">
        <v>844</v>
      </c>
      <c r="B99" s="68" t="n">
        <v>1097</v>
      </c>
      <c r="C99" s="68" t="s">
        <v>39</v>
      </c>
      <c r="D99" s="68" t="s">
        <v>40</v>
      </c>
      <c r="E99" s="68" t="n">
        <v>2022</v>
      </c>
      <c r="F99" s="68" t="s">
        <v>797</v>
      </c>
      <c r="G99" s="68" t="s">
        <v>845</v>
      </c>
      <c r="H99" s="68" t="n">
        <v>115.16</v>
      </c>
      <c r="I99" s="68" t="n">
        <v>65.3</v>
      </c>
      <c r="J99" s="68" t="n">
        <v>4.23</v>
      </c>
      <c r="K99" s="68" t="n">
        <v>47</v>
      </c>
    </row>
    <row r="100" customFormat="false" ht="14.25" hidden="false" customHeight="true" outlineLevel="0" collapsed="false">
      <c r="A100" s="68" t="s">
        <v>844</v>
      </c>
      <c r="B100" s="68" t="n">
        <v>1098</v>
      </c>
      <c r="C100" s="68" t="s">
        <v>39</v>
      </c>
      <c r="D100" s="68" t="s">
        <v>40</v>
      </c>
      <c r="E100" s="68" t="n">
        <v>2022</v>
      </c>
      <c r="F100" s="68" t="s">
        <v>805</v>
      </c>
      <c r="G100" s="68" t="s">
        <v>845</v>
      </c>
      <c r="H100" s="68" t="n">
        <v>105.99</v>
      </c>
      <c r="I100" s="68" t="n">
        <v>55.7</v>
      </c>
      <c r="J100" s="68" t="n">
        <v>4.65</v>
      </c>
      <c r="K100" s="68" t="n">
        <v>123</v>
      </c>
    </row>
    <row r="101" customFormat="false" ht="14.25" hidden="false" customHeight="true" outlineLevel="0" collapsed="false">
      <c r="A101" s="68" t="s">
        <v>844</v>
      </c>
      <c r="B101" s="68" t="n">
        <v>1099</v>
      </c>
      <c r="C101" s="68" t="s">
        <v>39</v>
      </c>
      <c r="D101" s="68" t="s">
        <v>40</v>
      </c>
      <c r="E101" s="68" t="n">
        <v>2022</v>
      </c>
      <c r="F101" s="68" t="s">
        <v>798</v>
      </c>
      <c r="G101" s="68" t="s">
        <v>845</v>
      </c>
      <c r="H101" s="68" t="n">
        <v>115.45</v>
      </c>
      <c r="I101" s="68" t="n">
        <v>58</v>
      </c>
      <c r="J101" s="68" t="n">
        <v>4.66</v>
      </c>
      <c r="K101" s="68" t="n">
        <v>13</v>
      </c>
    </row>
    <row r="102" customFormat="false" ht="14.25" hidden="false" customHeight="true" outlineLevel="0" collapsed="false">
      <c r="A102" s="68" t="s">
        <v>844</v>
      </c>
      <c r="B102" s="68" t="n">
        <v>1100</v>
      </c>
      <c r="C102" s="68" t="s">
        <v>39</v>
      </c>
      <c r="D102" s="68" t="s">
        <v>40</v>
      </c>
      <c r="E102" s="68" t="n">
        <v>2022</v>
      </c>
      <c r="F102" s="68" t="s">
        <v>798</v>
      </c>
      <c r="G102" s="68" t="s">
        <v>846</v>
      </c>
      <c r="H102" s="68" t="n">
        <v>106.15</v>
      </c>
      <c r="I102" s="68" t="n">
        <v>70.5</v>
      </c>
      <c r="J102" s="68" t="n">
        <v>4.68</v>
      </c>
      <c r="K102" s="68" t="n">
        <v>540</v>
      </c>
    </row>
    <row r="103" customFormat="false" ht="14.25" hidden="false" customHeight="true" outlineLevel="0" collapsed="false">
      <c r="A103" s="68" t="s">
        <v>844</v>
      </c>
      <c r="B103" s="68" t="n">
        <v>1101</v>
      </c>
      <c r="C103" s="68" t="s">
        <v>39</v>
      </c>
      <c r="D103" s="68" t="s">
        <v>40</v>
      </c>
      <c r="E103" s="68" t="n">
        <v>2022</v>
      </c>
      <c r="F103" s="68" t="s">
        <v>801</v>
      </c>
      <c r="G103" s="68" t="s">
        <v>845</v>
      </c>
      <c r="H103" s="68" t="n">
        <v>121.72</v>
      </c>
      <c r="I103" s="68" t="n">
        <v>61.4</v>
      </c>
      <c r="J103" s="68" t="n">
        <v>4.15</v>
      </c>
      <c r="K103" s="68" t="n">
        <v>407</v>
      </c>
    </row>
    <row r="104" customFormat="false" ht="14.25" hidden="false" customHeight="true" outlineLevel="0" collapsed="false">
      <c r="A104" s="68" t="s">
        <v>844</v>
      </c>
      <c r="B104" s="68" t="n">
        <v>1102</v>
      </c>
      <c r="C104" s="68" t="s">
        <v>39</v>
      </c>
      <c r="D104" s="68" t="s">
        <v>40</v>
      </c>
      <c r="E104" s="68" t="n">
        <v>2022</v>
      </c>
      <c r="F104" s="68" t="s">
        <v>801</v>
      </c>
      <c r="G104" s="68" t="s">
        <v>846</v>
      </c>
      <c r="H104" s="68" t="n">
        <v>119.87</v>
      </c>
      <c r="I104" s="68" t="n">
        <v>28.9</v>
      </c>
      <c r="J104" s="68" t="n">
        <v>4.31</v>
      </c>
      <c r="K104" s="68" t="n">
        <v>710</v>
      </c>
    </row>
    <row r="105" customFormat="false" ht="14.25" hidden="false" customHeight="true" outlineLevel="0" collapsed="false">
      <c r="A105" s="68" t="s">
        <v>844</v>
      </c>
      <c r="B105" s="68" t="n">
        <v>1103</v>
      </c>
      <c r="C105" s="68" t="s">
        <v>39</v>
      </c>
      <c r="D105" s="68" t="s">
        <v>40</v>
      </c>
      <c r="E105" s="68" t="n">
        <v>2023</v>
      </c>
      <c r="F105" s="68" t="s">
        <v>797</v>
      </c>
      <c r="G105" s="68" t="s">
        <v>845</v>
      </c>
      <c r="H105" s="68" t="n">
        <v>128.26</v>
      </c>
      <c r="I105" s="68" t="n">
        <v>43.5</v>
      </c>
      <c r="J105" s="68" t="n">
        <v>4.26</v>
      </c>
      <c r="K105" s="68" t="n">
        <v>799</v>
      </c>
    </row>
    <row r="106" customFormat="false" ht="14.25" hidden="false" customHeight="true" outlineLevel="0" collapsed="false">
      <c r="A106" s="68" t="s">
        <v>844</v>
      </c>
      <c r="B106" s="68" t="n">
        <v>1104</v>
      </c>
      <c r="C106" s="68" t="s">
        <v>39</v>
      </c>
      <c r="D106" s="68" t="s">
        <v>40</v>
      </c>
      <c r="E106" s="68" t="n">
        <v>2023</v>
      </c>
      <c r="F106" s="68" t="s">
        <v>797</v>
      </c>
      <c r="G106" s="68" t="s">
        <v>846</v>
      </c>
      <c r="H106" s="68" t="n">
        <v>114.05</v>
      </c>
      <c r="I106" s="68" t="n">
        <v>64.8</v>
      </c>
      <c r="J106" s="68" t="n">
        <v>3.97</v>
      </c>
      <c r="K106" s="68" t="n">
        <v>626</v>
      </c>
    </row>
    <row r="107" customFormat="false" ht="14.25" hidden="false" customHeight="true" outlineLevel="0" collapsed="false">
      <c r="A107" s="68" t="s">
        <v>844</v>
      </c>
      <c r="B107" s="68" t="n">
        <v>1105</v>
      </c>
      <c r="C107" s="68" t="s">
        <v>39</v>
      </c>
      <c r="D107" s="68" t="s">
        <v>40</v>
      </c>
      <c r="E107" s="68" t="n">
        <v>2023</v>
      </c>
      <c r="F107" s="68" t="s">
        <v>805</v>
      </c>
      <c r="G107" s="68" t="s">
        <v>845</v>
      </c>
      <c r="H107" s="68" t="n">
        <v>119.05</v>
      </c>
      <c r="I107" s="68" t="n">
        <v>62.9</v>
      </c>
      <c r="J107" s="68" t="n">
        <v>4.67</v>
      </c>
      <c r="K107" s="68" t="n">
        <v>591</v>
      </c>
    </row>
    <row r="108" customFormat="false" ht="14.25" hidden="false" customHeight="true" outlineLevel="0" collapsed="false">
      <c r="A108" s="68" t="s">
        <v>844</v>
      </c>
      <c r="B108" s="68" t="n">
        <v>1106</v>
      </c>
      <c r="C108" s="68" t="s">
        <v>39</v>
      </c>
      <c r="D108" s="68" t="s">
        <v>40</v>
      </c>
      <c r="E108" s="68" t="n">
        <v>2023</v>
      </c>
      <c r="F108" s="68" t="s">
        <v>805</v>
      </c>
      <c r="G108" s="68" t="s">
        <v>846</v>
      </c>
      <c r="H108" s="68" t="n">
        <v>117.83</v>
      </c>
      <c r="I108" s="68" t="n">
        <v>89.1</v>
      </c>
      <c r="J108" s="68" t="n">
        <v>4.7</v>
      </c>
      <c r="K108" s="68" t="n">
        <v>534</v>
      </c>
    </row>
    <row r="109" customFormat="false" ht="14.25" hidden="false" customHeight="true" outlineLevel="0" collapsed="false">
      <c r="A109" s="68" t="s">
        <v>844</v>
      </c>
      <c r="B109" s="68" t="n">
        <v>1107</v>
      </c>
      <c r="C109" s="68" t="s">
        <v>39</v>
      </c>
      <c r="D109" s="68" t="s">
        <v>40</v>
      </c>
      <c r="E109" s="68" t="n">
        <v>2023</v>
      </c>
      <c r="F109" s="68" t="s">
        <v>798</v>
      </c>
      <c r="G109" s="68" t="s">
        <v>846</v>
      </c>
      <c r="H109" s="68" t="n">
        <v>134.11</v>
      </c>
      <c r="I109" s="68" t="n">
        <v>40.4</v>
      </c>
      <c r="J109" s="68" t="n">
        <v>3.43</v>
      </c>
      <c r="K109" s="68" t="n">
        <v>553</v>
      </c>
    </row>
    <row r="110" customFormat="false" ht="14.25" hidden="false" customHeight="true" outlineLevel="0" collapsed="false">
      <c r="A110" s="68" t="s">
        <v>844</v>
      </c>
      <c r="B110" s="68" t="n">
        <v>1108</v>
      </c>
      <c r="C110" s="68" t="s">
        <v>39</v>
      </c>
      <c r="D110" s="68" t="s">
        <v>40</v>
      </c>
      <c r="E110" s="68" t="n">
        <v>2024</v>
      </c>
      <c r="F110" s="68" t="s">
        <v>797</v>
      </c>
      <c r="G110" s="68" t="s">
        <v>845</v>
      </c>
      <c r="H110" s="68" t="n">
        <v>136.72</v>
      </c>
      <c r="I110" s="68" t="n">
        <v>57.4</v>
      </c>
      <c r="J110" s="68" t="n">
        <v>4.37</v>
      </c>
      <c r="K110" s="68" t="n">
        <v>836</v>
      </c>
    </row>
    <row r="111" customFormat="false" ht="14.25" hidden="false" customHeight="true" outlineLevel="0" collapsed="false">
      <c r="A111" s="68" t="s">
        <v>844</v>
      </c>
      <c r="B111" s="68" t="n">
        <v>1109</v>
      </c>
      <c r="C111" s="68" t="s">
        <v>39</v>
      </c>
      <c r="D111" s="68" t="s">
        <v>40</v>
      </c>
      <c r="E111" s="68" t="n">
        <v>2024</v>
      </c>
      <c r="F111" s="68" t="s">
        <v>797</v>
      </c>
      <c r="G111" s="68" t="s">
        <v>846</v>
      </c>
      <c r="H111" s="68" t="n">
        <v>129.26</v>
      </c>
      <c r="I111" s="68" t="n">
        <v>84.6</v>
      </c>
      <c r="J111" s="68" t="n">
        <v>4.47</v>
      </c>
      <c r="K111" s="68" t="n">
        <v>896</v>
      </c>
    </row>
    <row r="112" customFormat="false" ht="14.25" hidden="false" customHeight="true" outlineLevel="0" collapsed="false">
      <c r="A112" s="68" t="s">
        <v>844</v>
      </c>
      <c r="B112" s="68" t="n">
        <v>1110</v>
      </c>
      <c r="C112" s="68" t="s">
        <v>39</v>
      </c>
      <c r="D112" s="68" t="s">
        <v>40</v>
      </c>
      <c r="E112" s="68" t="n">
        <v>2024</v>
      </c>
      <c r="F112" s="68" t="s">
        <v>798</v>
      </c>
      <c r="G112" s="68" t="s">
        <v>845</v>
      </c>
      <c r="H112" s="68" t="n">
        <v>142.02</v>
      </c>
      <c r="I112" s="68" t="n">
        <v>58.3</v>
      </c>
      <c r="J112" s="68" t="n">
        <v>4.05</v>
      </c>
      <c r="K112" s="68" t="n">
        <v>24</v>
      </c>
    </row>
    <row r="113" customFormat="false" ht="14.25" hidden="false" customHeight="true" outlineLevel="0" collapsed="false">
      <c r="A113" s="68" t="s">
        <v>844</v>
      </c>
      <c r="B113" s="68" t="n">
        <v>1111</v>
      </c>
      <c r="C113" s="68" t="s">
        <v>39</v>
      </c>
      <c r="D113" s="68" t="s">
        <v>40</v>
      </c>
      <c r="E113" s="68" t="n">
        <v>2024</v>
      </c>
      <c r="F113" s="68" t="s">
        <v>798</v>
      </c>
      <c r="G113" s="68" t="s">
        <v>846</v>
      </c>
      <c r="H113" s="68" t="n">
        <v>119.56</v>
      </c>
      <c r="I113" s="68" t="n">
        <v>66.6</v>
      </c>
      <c r="J113" s="68" t="n">
        <v>3.58</v>
      </c>
      <c r="K113" s="68" t="n">
        <v>762</v>
      </c>
    </row>
    <row r="114" customFormat="false" ht="14.25" hidden="false" customHeight="true" outlineLevel="0" collapsed="false">
      <c r="A114" s="68" t="s">
        <v>844</v>
      </c>
      <c r="B114" s="68" t="n">
        <v>1112</v>
      </c>
      <c r="C114" s="68" t="s">
        <v>39</v>
      </c>
      <c r="D114" s="68" t="s">
        <v>40</v>
      </c>
      <c r="E114" s="68" t="n">
        <v>2024</v>
      </c>
      <c r="F114" s="68" t="s">
        <v>801</v>
      </c>
      <c r="G114" s="68" t="s">
        <v>845</v>
      </c>
      <c r="H114" s="68" t="n">
        <v>143.14</v>
      </c>
      <c r="I114" s="68" t="n">
        <v>45.6</v>
      </c>
      <c r="J114" s="68" t="n">
        <v>4.77</v>
      </c>
      <c r="K114" s="68" t="n">
        <v>10</v>
      </c>
    </row>
    <row r="115" customFormat="false" ht="14.25" hidden="false" customHeight="true" outlineLevel="0" collapsed="false">
      <c r="A115" s="68" t="s">
        <v>844</v>
      </c>
      <c r="B115" s="68" t="n">
        <v>1113</v>
      </c>
      <c r="C115" s="68" t="s">
        <v>39</v>
      </c>
      <c r="D115" s="68" t="s">
        <v>40</v>
      </c>
      <c r="E115" s="68" t="n">
        <v>2025</v>
      </c>
      <c r="F115" s="68" t="s">
        <v>797</v>
      </c>
      <c r="G115" s="68" t="s">
        <v>845</v>
      </c>
      <c r="H115" s="68" t="n">
        <v>132.08</v>
      </c>
      <c r="I115" s="68" t="n">
        <v>53.8</v>
      </c>
      <c r="J115" s="68" t="n">
        <v>4.47</v>
      </c>
      <c r="K115" s="68" t="n">
        <v>199</v>
      </c>
    </row>
    <row r="116" customFormat="false" ht="14.25" hidden="false" customHeight="true" outlineLevel="0" collapsed="false">
      <c r="A116" s="68" t="s">
        <v>844</v>
      </c>
      <c r="B116" s="68" t="n">
        <v>1114</v>
      </c>
      <c r="C116" s="68" t="s">
        <v>39</v>
      </c>
      <c r="D116" s="68" t="s">
        <v>40</v>
      </c>
      <c r="E116" s="68" t="n">
        <v>2025</v>
      </c>
      <c r="F116" s="68" t="s">
        <v>805</v>
      </c>
      <c r="G116" s="68" t="s">
        <v>845</v>
      </c>
      <c r="H116" s="68" t="n">
        <v>149.02</v>
      </c>
      <c r="I116" s="68" t="n">
        <v>43.8</v>
      </c>
      <c r="J116" s="68" t="n">
        <v>3.98</v>
      </c>
      <c r="K116" s="68" t="n">
        <v>403</v>
      </c>
    </row>
    <row r="117" customFormat="false" ht="14.25" hidden="false" customHeight="true" outlineLevel="0" collapsed="false">
      <c r="A117" s="68" t="s">
        <v>844</v>
      </c>
      <c r="B117" s="68" t="n">
        <v>1115</v>
      </c>
      <c r="C117" s="68" t="s">
        <v>39</v>
      </c>
      <c r="D117" s="68" t="s">
        <v>40</v>
      </c>
      <c r="E117" s="68" t="n">
        <v>2025</v>
      </c>
      <c r="F117" s="68" t="s">
        <v>798</v>
      </c>
      <c r="G117" s="68" t="s">
        <v>845</v>
      </c>
      <c r="H117" s="68" t="n">
        <v>148.08</v>
      </c>
      <c r="I117" s="68" t="n">
        <v>35.3</v>
      </c>
      <c r="J117" s="68" t="n">
        <v>4.22</v>
      </c>
      <c r="K117" s="68" t="n">
        <v>604</v>
      </c>
    </row>
    <row r="118" customFormat="false" ht="14.25" hidden="false" customHeight="true" outlineLevel="0" collapsed="false">
      <c r="A118" s="68" t="s">
        <v>844</v>
      </c>
      <c r="B118" s="68" t="n">
        <v>1116</v>
      </c>
      <c r="C118" s="68" t="s">
        <v>39</v>
      </c>
      <c r="D118" s="68" t="s">
        <v>40</v>
      </c>
      <c r="E118" s="68" t="n">
        <v>2025</v>
      </c>
      <c r="F118" s="68" t="s">
        <v>798</v>
      </c>
      <c r="G118" s="68" t="s">
        <v>846</v>
      </c>
      <c r="H118" s="68" t="n">
        <v>132.26</v>
      </c>
      <c r="I118" s="68" t="n">
        <v>35.7</v>
      </c>
      <c r="J118" s="68" t="n">
        <v>4.75</v>
      </c>
      <c r="K118" s="68" t="n">
        <v>357</v>
      </c>
    </row>
    <row r="119" customFormat="false" ht="14.25" hidden="false" customHeight="true" outlineLevel="0" collapsed="false">
      <c r="A119" s="68" t="s">
        <v>844</v>
      </c>
      <c r="B119" s="68" t="n">
        <v>1117</v>
      </c>
      <c r="C119" s="68" t="s">
        <v>42</v>
      </c>
      <c r="D119" s="68" t="s">
        <v>43</v>
      </c>
      <c r="E119" s="68" t="n">
        <v>2022</v>
      </c>
      <c r="F119" s="68" t="s">
        <v>805</v>
      </c>
      <c r="G119" s="68" t="s">
        <v>845</v>
      </c>
      <c r="H119" s="68" t="n">
        <v>128.21</v>
      </c>
      <c r="I119" s="68" t="n">
        <v>63.3</v>
      </c>
      <c r="J119" s="68" t="n">
        <v>4.12</v>
      </c>
      <c r="K119" s="68" t="n">
        <v>193</v>
      </c>
    </row>
    <row r="120" customFormat="false" ht="14.25" hidden="false" customHeight="true" outlineLevel="0" collapsed="false">
      <c r="A120" s="68" t="s">
        <v>844</v>
      </c>
      <c r="B120" s="68" t="n">
        <v>1118</v>
      </c>
      <c r="C120" s="68" t="s">
        <v>42</v>
      </c>
      <c r="D120" s="68" t="s">
        <v>43</v>
      </c>
      <c r="E120" s="68" t="n">
        <v>2022</v>
      </c>
      <c r="F120" s="68" t="s">
        <v>805</v>
      </c>
      <c r="G120" s="68" t="s">
        <v>846</v>
      </c>
      <c r="H120" s="68" t="n">
        <v>134.95</v>
      </c>
      <c r="I120" s="68" t="n">
        <v>56.3</v>
      </c>
      <c r="J120" s="68" t="n">
        <v>4.54</v>
      </c>
      <c r="K120" s="68" t="n">
        <v>454</v>
      </c>
    </row>
    <row r="121" customFormat="false" ht="14.25" hidden="false" customHeight="true" outlineLevel="0" collapsed="false">
      <c r="A121" s="68" t="s">
        <v>844</v>
      </c>
      <c r="B121" s="68" t="n">
        <v>1119</v>
      </c>
      <c r="C121" s="68" t="s">
        <v>42</v>
      </c>
      <c r="D121" s="68" t="s">
        <v>43</v>
      </c>
      <c r="E121" s="68" t="n">
        <v>2022</v>
      </c>
      <c r="F121" s="68" t="s">
        <v>798</v>
      </c>
      <c r="G121" s="68" t="s">
        <v>846</v>
      </c>
      <c r="H121" s="68" t="n">
        <v>194.57</v>
      </c>
      <c r="I121" s="68" t="n">
        <v>51.7</v>
      </c>
      <c r="J121" s="68" t="n">
        <v>4.72</v>
      </c>
      <c r="K121" s="68" t="n">
        <v>683</v>
      </c>
    </row>
    <row r="122" customFormat="false" ht="14.25" hidden="false" customHeight="true" outlineLevel="0" collapsed="false">
      <c r="A122" s="68" t="s">
        <v>844</v>
      </c>
      <c r="B122" s="68" t="n">
        <v>1120</v>
      </c>
      <c r="C122" s="68" t="s">
        <v>42</v>
      </c>
      <c r="D122" s="68" t="s">
        <v>43</v>
      </c>
      <c r="E122" s="68" t="n">
        <v>2022</v>
      </c>
      <c r="F122" s="68" t="s">
        <v>801</v>
      </c>
      <c r="G122" s="68" t="s">
        <v>845</v>
      </c>
      <c r="H122" s="68" t="n">
        <v>160.1</v>
      </c>
      <c r="I122" s="68" t="n">
        <v>46.4</v>
      </c>
      <c r="J122" s="68" t="n">
        <v>4.08</v>
      </c>
      <c r="K122" s="68" t="n">
        <v>736</v>
      </c>
    </row>
    <row r="123" customFormat="false" ht="14.25" hidden="false" customHeight="true" outlineLevel="0" collapsed="false">
      <c r="A123" s="68" t="s">
        <v>844</v>
      </c>
      <c r="B123" s="68" t="n">
        <v>1121</v>
      </c>
      <c r="C123" s="68" t="s">
        <v>42</v>
      </c>
      <c r="D123" s="68" t="s">
        <v>43</v>
      </c>
      <c r="E123" s="68" t="n">
        <v>2022</v>
      </c>
      <c r="F123" s="68" t="s">
        <v>801</v>
      </c>
      <c r="G123" s="68" t="s">
        <v>846</v>
      </c>
      <c r="H123" s="68" t="n">
        <v>156.42</v>
      </c>
      <c r="I123" s="68" t="n">
        <v>53.8</v>
      </c>
      <c r="J123" s="68" t="n">
        <v>4.1</v>
      </c>
      <c r="K123" s="68" t="n">
        <v>291</v>
      </c>
    </row>
    <row r="124" customFormat="false" ht="14.25" hidden="false" customHeight="true" outlineLevel="0" collapsed="false">
      <c r="A124" s="68" t="s">
        <v>844</v>
      </c>
      <c r="B124" s="68" t="n">
        <v>1122</v>
      </c>
      <c r="C124" s="68" t="s">
        <v>42</v>
      </c>
      <c r="D124" s="68" t="s">
        <v>43</v>
      </c>
      <c r="E124" s="68" t="n">
        <v>2023</v>
      </c>
      <c r="F124" s="68" t="s">
        <v>797</v>
      </c>
      <c r="G124" s="68" t="s">
        <v>846</v>
      </c>
      <c r="H124" s="68" t="n">
        <v>96.32</v>
      </c>
      <c r="I124" s="68" t="n">
        <v>60.7</v>
      </c>
      <c r="J124" s="68" t="n">
        <v>4.84</v>
      </c>
      <c r="K124" s="68" t="n">
        <v>279</v>
      </c>
    </row>
    <row r="125" customFormat="false" ht="14.25" hidden="false" customHeight="true" outlineLevel="0" collapsed="false">
      <c r="A125" s="68" t="s">
        <v>844</v>
      </c>
      <c r="B125" s="68" t="n">
        <v>1123</v>
      </c>
      <c r="C125" s="68" t="s">
        <v>42</v>
      </c>
      <c r="D125" s="68" t="s">
        <v>43</v>
      </c>
      <c r="E125" s="68" t="n">
        <v>2023</v>
      </c>
      <c r="F125" s="68" t="s">
        <v>805</v>
      </c>
      <c r="G125" s="68" t="s">
        <v>845</v>
      </c>
      <c r="H125" s="68" t="n">
        <v>172.4</v>
      </c>
      <c r="I125" s="68" t="n">
        <v>52.2</v>
      </c>
      <c r="J125" s="68" t="n">
        <v>4.18</v>
      </c>
      <c r="K125" s="68" t="n">
        <v>293</v>
      </c>
    </row>
    <row r="126" customFormat="false" ht="14.25" hidden="false" customHeight="true" outlineLevel="0" collapsed="false">
      <c r="A126" s="68" t="s">
        <v>844</v>
      </c>
      <c r="B126" s="68" t="n">
        <v>1124</v>
      </c>
      <c r="C126" s="68" t="s">
        <v>42</v>
      </c>
      <c r="D126" s="68" t="s">
        <v>43</v>
      </c>
      <c r="E126" s="68" t="n">
        <v>2023</v>
      </c>
      <c r="F126" s="68" t="s">
        <v>798</v>
      </c>
      <c r="G126" s="68" t="s">
        <v>845</v>
      </c>
      <c r="H126" s="68" t="n">
        <v>139.23</v>
      </c>
      <c r="I126" s="68" t="n">
        <v>81.5</v>
      </c>
      <c r="J126" s="68" t="n">
        <v>4.28</v>
      </c>
      <c r="K126" s="68" t="n">
        <v>790</v>
      </c>
    </row>
    <row r="127" customFormat="false" ht="14.25" hidden="false" customHeight="true" outlineLevel="0" collapsed="false">
      <c r="A127" s="68" t="s">
        <v>844</v>
      </c>
      <c r="B127" s="68" t="n">
        <v>1125</v>
      </c>
      <c r="C127" s="68" t="s">
        <v>42</v>
      </c>
      <c r="D127" s="68" t="s">
        <v>43</v>
      </c>
      <c r="E127" s="68" t="n">
        <v>2023</v>
      </c>
      <c r="F127" s="68" t="s">
        <v>798</v>
      </c>
      <c r="G127" s="68" t="s">
        <v>846</v>
      </c>
      <c r="H127" s="68" t="n">
        <v>151.41</v>
      </c>
      <c r="I127" s="68" t="n">
        <v>41.1</v>
      </c>
      <c r="J127" s="68" t="n">
        <v>4.45</v>
      </c>
      <c r="K127" s="68" t="n">
        <v>140</v>
      </c>
    </row>
    <row r="128" customFormat="false" ht="14.25" hidden="false" customHeight="true" outlineLevel="0" collapsed="false">
      <c r="A128" s="68" t="s">
        <v>844</v>
      </c>
      <c r="B128" s="68" t="n">
        <v>1126</v>
      </c>
      <c r="C128" s="68" t="s">
        <v>42</v>
      </c>
      <c r="D128" s="68" t="s">
        <v>43</v>
      </c>
      <c r="E128" s="68" t="n">
        <v>2023</v>
      </c>
      <c r="F128" s="68" t="s">
        <v>801</v>
      </c>
      <c r="G128" s="68" t="s">
        <v>845</v>
      </c>
      <c r="H128" s="68" t="n">
        <v>169.44</v>
      </c>
      <c r="I128" s="68" t="n">
        <v>61.5</v>
      </c>
      <c r="J128" s="68" t="n">
        <v>4.86</v>
      </c>
      <c r="K128" s="68" t="n">
        <v>133</v>
      </c>
    </row>
    <row r="129" customFormat="false" ht="14.25" hidden="false" customHeight="true" outlineLevel="0" collapsed="false">
      <c r="A129" s="68" t="s">
        <v>844</v>
      </c>
      <c r="B129" s="68" t="n">
        <v>1127</v>
      </c>
      <c r="C129" s="68" t="s">
        <v>42</v>
      </c>
      <c r="D129" s="68" t="s">
        <v>43</v>
      </c>
      <c r="E129" s="68" t="n">
        <v>2023</v>
      </c>
      <c r="F129" s="68" t="s">
        <v>801</v>
      </c>
      <c r="G129" s="68" t="s">
        <v>846</v>
      </c>
      <c r="H129" s="68" t="n">
        <v>164.05</v>
      </c>
      <c r="I129" s="68" t="n">
        <v>59.7</v>
      </c>
      <c r="J129" s="68" t="n">
        <v>4.58</v>
      </c>
      <c r="K129" s="68" t="n">
        <v>440</v>
      </c>
    </row>
    <row r="130" customFormat="false" ht="14.25" hidden="false" customHeight="true" outlineLevel="0" collapsed="false">
      <c r="A130" s="68" t="s">
        <v>844</v>
      </c>
      <c r="B130" s="68" t="n">
        <v>1128</v>
      </c>
      <c r="C130" s="68" t="s">
        <v>42</v>
      </c>
      <c r="D130" s="68" t="s">
        <v>43</v>
      </c>
      <c r="E130" s="68" t="n">
        <v>2024</v>
      </c>
      <c r="F130" s="68" t="s">
        <v>797</v>
      </c>
      <c r="G130" s="68" t="s">
        <v>845</v>
      </c>
      <c r="H130" s="68" t="n">
        <v>181.76</v>
      </c>
      <c r="I130" s="68" t="n">
        <v>93.6</v>
      </c>
      <c r="J130" s="68" t="n">
        <v>5</v>
      </c>
      <c r="K130" s="68" t="n">
        <v>142</v>
      </c>
    </row>
    <row r="131" customFormat="false" ht="14.25" hidden="false" customHeight="true" outlineLevel="0" collapsed="false">
      <c r="A131" s="68" t="s">
        <v>844</v>
      </c>
      <c r="B131" s="68" t="n">
        <v>1129</v>
      </c>
      <c r="C131" s="68" t="s">
        <v>42</v>
      </c>
      <c r="D131" s="68" t="s">
        <v>43</v>
      </c>
      <c r="E131" s="68" t="n">
        <v>2024</v>
      </c>
      <c r="F131" s="68" t="s">
        <v>805</v>
      </c>
      <c r="G131" s="68" t="s">
        <v>845</v>
      </c>
      <c r="H131" s="68" t="n">
        <v>177.18</v>
      </c>
      <c r="I131" s="68" t="n">
        <v>50.1</v>
      </c>
      <c r="J131" s="68" t="n">
        <v>4.28</v>
      </c>
      <c r="K131" s="68" t="n">
        <v>32</v>
      </c>
    </row>
    <row r="132" customFormat="false" ht="14.25" hidden="false" customHeight="true" outlineLevel="0" collapsed="false">
      <c r="A132" s="68" t="s">
        <v>844</v>
      </c>
      <c r="B132" s="68" t="n">
        <v>1130</v>
      </c>
      <c r="C132" s="68" t="s">
        <v>42</v>
      </c>
      <c r="D132" s="68" t="s">
        <v>43</v>
      </c>
      <c r="E132" s="68" t="n">
        <v>2024</v>
      </c>
      <c r="F132" s="68" t="s">
        <v>805</v>
      </c>
      <c r="G132" s="68" t="s">
        <v>846</v>
      </c>
      <c r="H132" s="68" t="n">
        <v>183.12</v>
      </c>
      <c r="I132" s="68" t="n">
        <v>62.3</v>
      </c>
      <c r="J132" s="68" t="n">
        <v>4.27</v>
      </c>
      <c r="K132" s="68" t="n">
        <v>412</v>
      </c>
    </row>
    <row r="133" customFormat="false" ht="14.25" hidden="false" customHeight="true" outlineLevel="0" collapsed="false">
      <c r="A133" s="68" t="s">
        <v>844</v>
      </c>
      <c r="B133" s="68" t="n">
        <v>1131</v>
      </c>
      <c r="C133" s="68" t="s">
        <v>42</v>
      </c>
      <c r="D133" s="68" t="s">
        <v>43</v>
      </c>
      <c r="E133" s="68" t="n">
        <v>2024</v>
      </c>
      <c r="F133" s="68" t="s">
        <v>798</v>
      </c>
      <c r="G133" s="68" t="s">
        <v>845</v>
      </c>
      <c r="H133" s="68" t="n">
        <v>152</v>
      </c>
      <c r="I133" s="68" t="n">
        <v>37.7</v>
      </c>
      <c r="J133" s="68" t="n">
        <v>4.4</v>
      </c>
      <c r="K133" s="68" t="n">
        <v>139</v>
      </c>
    </row>
    <row r="134" customFormat="false" ht="14.25" hidden="false" customHeight="true" outlineLevel="0" collapsed="false">
      <c r="A134" s="68" t="s">
        <v>844</v>
      </c>
      <c r="B134" s="68" t="n">
        <v>1132</v>
      </c>
      <c r="C134" s="68" t="s">
        <v>42</v>
      </c>
      <c r="D134" s="68" t="s">
        <v>43</v>
      </c>
      <c r="E134" s="68" t="n">
        <v>2024</v>
      </c>
      <c r="F134" s="68" t="s">
        <v>798</v>
      </c>
      <c r="G134" s="68" t="s">
        <v>846</v>
      </c>
      <c r="H134" s="68" t="n">
        <v>159.65</v>
      </c>
      <c r="I134" s="68" t="n">
        <v>62.7</v>
      </c>
      <c r="J134" s="68" t="n">
        <v>4.58</v>
      </c>
      <c r="K134" s="68" t="n">
        <v>6</v>
      </c>
    </row>
    <row r="135" customFormat="false" ht="14.25" hidden="false" customHeight="true" outlineLevel="0" collapsed="false">
      <c r="A135" s="68" t="s">
        <v>844</v>
      </c>
      <c r="B135" s="68" t="n">
        <v>1133</v>
      </c>
      <c r="C135" s="68" t="s">
        <v>42</v>
      </c>
      <c r="D135" s="68" t="s">
        <v>43</v>
      </c>
      <c r="E135" s="68" t="n">
        <v>2024</v>
      </c>
      <c r="F135" s="68" t="s">
        <v>801</v>
      </c>
      <c r="G135" s="68" t="s">
        <v>846</v>
      </c>
      <c r="H135" s="68" t="n">
        <v>169.25</v>
      </c>
      <c r="I135" s="68" t="n">
        <v>44.4</v>
      </c>
      <c r="J135" s="68" t="n">
        <v>4.46</v>
      </c>
      <c r="K135" s="68" t="n">
        <v>517</v>
      </c>
    </row>
    <row r="136" customFormat="false" ht="14.25" hidden="false" customHeight="true" outlineLevel="0" collapsed="false">
      <c r="A136" s="68" t="s">
        <v>844</v>
      </c>
      <c r="B136" s="68" t="n">
        <v>1134</v>
      </c>
      <c r="C136" s="68" t="s">
        <v>42</v>
      </c>
      <c r="D136" s="68" t="s">
        <v>43</v>
      </c>
      <c r="E136" s="68" t="n">
        <v>2025</v>
      </c>
      <c r="F136" s="68" t="s">
        <v>805</v>
      </c>
      <c r="G136" s="68" t="s">
        <v>845</v>
      </c>
      <c r="H136" s="68" t="n">
        <v>162.35</v>
      </c>
      <c r="I136" s="68" t="n">
        <v>36.5</v>
      </c>
      <c r="J136" s="68" t="n">
        <v>4.24</v>
      </c>
      <c r="K136" s="68" t="n">
        <v>450</v>
      </c>
    </row>
    <row r="137" customFormat="false" ht="14.25" hidden="false" customHeight="true" outlineLevel="0" collapsed="false">
      <c r="A137" s="68" t="s">
        <v>844</v>
      </c>
      <c r="B137" s="68" t="n">
        <v>1135</v>
      </c>
      <c r="C137" s="68" t="s">
        <v>42</v>
      </c>
      <c r="D137" s="68" t="s">
        <v>43</v>
      </c>
      <c r="E137" s="68" t="n">
        <v>2025</v>
      </c>
      <c r="F137" s="68" t="s">
        <v>805</v>
      </c>
      <c r="G137" s="68" t="s">
        <v>846</v>
      </c>
      <c r="H137" s="68" t="n">
        <v>167.48</v>
      </c>
      <c r="I137" s="68" t="n">
        <v>61.1</v>
      </c>
      <c r="J137" s="68" t="n">
        <v>4.65</v>
      </c>
      <c r="K137" s="68" t="n">
        <v>551</v>
      </c>
    </row>
    <row r="138" customFormat="false" ht="14.25" hidden="false" customHeight="true" outlineLevel="0" collapsed="false">
      <c r="A138" s="68" t="s">
        <v>844</v>
      </c>
      <c r="B138" s="68" t="n">
        <v>1136</v>
      </c>
      <c r="C138" s="68" t="s">
        <v>42</v>
      </c>
      <c r="D138" s="68" t="s">
        <v>43</v>
      </c>
      <c r="E138" s="68" t="n">
        <v>2025</v>
      </c>
      <c r="F138" s="68" t="s">
        <v>798</v>
      </c>
      <c r="G138" s="68" t="s">
        <v>846</v>
      </c>
      <c r="H138" s="68" t="n">
        <v>199.63</v>
      </c>
      <c r="I138" s="68" t="n">
        <v>56.6</v>
      </c>
      <c r="J138" s="68" t="n">
        <v>4.82</v>
      </c>
      <c r="K138" s="68" t="n">
        <v>309</v>
      </c>
    </row>
    <row r="139" customFormat="false" ht="14.25" hidden="false" customHeight="true" outlineLevel="0" collapsed="false">
      <c r="A139" s="68" t="s">
        <v>844</v>
      </c>
      <c r="B139" s="68" t="n">
        <v>1137</v>
      </c>
      <c r="C139" s="68" t="s">
        <v>46</v>
      </c>
      <c r="D139" s="68" t="s">
        <v>47</v>
      </c>
      <c r="E139" s="68" t="n">
        <v>2022</v>
      </c>
      <c r="F139" s="68" t="s">
        <v>797</v>
      </c>
      <c r="G139" s="68" t="s">
        <v>845</v>
      </c>
      <c r="H139" s="68" t="n">
        <v>71.94</v>
      </c>
      <c r="I139" s="68" t="n">
        <v>52</v>
      </c>
      <c r="J139" s="68" t="n">
        <v>3.66</v>
      </c>
      <c r="K139" s="68" t="n">
        <v>776</v>
      </c>
    </row>
    <row r="140" customFormat="false" ht="14.25" hidden="false" customHeight="true" outlineLevel="0" collapsed="false">
      <c r="A140" s="68" t="s">
        <v>844</v>
      </c>
      <c r="B140" s="68" t="n">
        <v>1138</v>
      </c>
      <c r="C140" s="68" t="s">
        <v>46</v>
      </c>
      <c r="D140" s="68" t="s">
        <v>47</v>
      </c>
      <c r="E140" s="68" t="n">
        <v>2022</v>
      </c>
      <c r="F140" s="68" t="s">
        <v>797</v>
      </c>
      <c r="G140" s="68" t="s">
        <v>846</v>
      </c>
      <c r="H140" s="68" t="n">
        <v>82.01</v>
      </c>
      <c r="I140" s="68" t="n">
        <v>43.7</v>
      </c>
      <c r="J140" s="68" t="n">
        <v>4.12</v>
      </c>
      <c r="K140" s="68" t="n">
        <v>741</v>
      </c>
    </row>
    <row r="141" customFormat="false" ht="14.25" hidden="false" customHeight="true" outlineLevel="0" collapsed="false">
      <c r="A141" s="68" t="s">
        <v>844</v>
      </c>
      <c r="B141" s="68" t="n">
        <v>1139</v>
      </c>
      <c r="C141" s="68" t="s">
        <v>46</v>
      </c>
      <c r="D141" s="68" t="s">
        <v>47</v>
      </c>
      <c r="E141" s="68" t="n">
        <v>2022</v>
      </c>
      <c r="F141" s="68" t="s">
        <v>805</v>
      </c>
      <c r="G141" s="68" t="s">
        <v>846</v>
      </c>
      <c r="H141" s="68" t="n">
        <v>101.28</v>
      </c>
      <c r="I141" s="68" t="n">
        <v>41.5</v>
      </c>
      <c r="J141" s="68" t="n">
        <v>4.15</v>
      </c>
      <c r="K141" s="68" t="n">
        <v>857</v>
      </c>
    </row>
    <row r="142" customFormat="false" ht="14.25" hidden="false" customHeight="true" outlineLevel="0" collapsed="false">
      <c r="A142" s="68" t="s">
        <v>844</v>
      </c>
      <c r="B142" s="68" t="n">
        <v>1140</v>
      </c>
      <c r="C142" s="68" t="s">
        <v>46</v>
      </c>
      <c r="D142" s="68" t="s">
        <v>47</v>
      </c>
      <c r="E142" s="68" t="n">
        <v>2022</v>
      </c>
      <c r="F142" s="68" t="s">
        <v>798</v>
      </c>
      <c r="G142" s="68" t="s">
        <v>845</v>
      </c>
      <c r="H142" s="68" t="n">
        <v>80.61</v>
      </c>
      <c r="I142" s="68" t="n">
        <v>54.7</v>
      </c>
      <c r="J142" s="68" t="n">
        <v>3.89</v>
      </c>
      <c r="K142" s="68" t="n">
        <v>478</v>
      </c>
    </row>
    <row r="143" customFormat="false" ht="14.25" hidden="false" customHeight="true" outlineLevel="0" collapsed="false">
      <c r="A143" s="68" t="s">
        <v>844</v>
      </c>
      <c r="B143" s="68" t="n">
        <v>1141</v>
      </c>
      <c r="C143" s="68" t="s">
        <v>46</v>
      </c>
      <c r="D143" s="68" t="s">
        <v>47</v>
      </c>
      <c r="E143" s="68" t="n">
        <v>2022</v>
      </c>
      <c r="F143" s="68" t="s">
        <v>798</v>
      </c>
      <c r="G143" s="68" t="s">
        <v>846</v>
      </c>
      <c r="H143" s="68" t="n">
        <v>85.82</v>
      </c>
      <c r="I143" s="68" t="n">
        <v>48.4</v>
      </c>
      <c r="J143" s="68" t="n">
        <v>4.1</v>
      </c>
      <c r="K143" s="68" t="n">
        <v>236</v>
      </c>
    </row>
    <row r="144" customFormat="false" ht="14.25" hidden="false" customHeight="true" outlineLevel="0" collapsed="false">
      <c r="A144" s="68" t="s">
        <v>844</v>
      </c>
      <c r="B144" s="68" t="n">
        <v>1142</v>
      </c>
      <c r="C144" s="68" t="s">
        <v>46</v>
      </c>
      <c r="D144" s="68" t="s">
        <v>47</v>
      </c>
      <c r="E144" s="68" t="n">
        <v>2022</v>
      </c>
      <c r="F144" s="68" t="s">
        <v>801</v>
      </c>
      <c r="G144" s="68" t="s">
        <v>846</v>
      </c>
      <c r="H144" s="68" t="n">
        <v>105.57</v>
      </c>
      <c r="I144" s="68" t="n">
        <v>26.8</v>
      </c>
      <c r="J144" s="68" t="n">
        <v>4.2</v>
      </c>
      <c r="K144" s="68" t="n">
        <v>673</v>
      </c>
    </row>
    <row r="145" customFormat="false" ht="14.25" hidden="false" customHeight="true" outlineLevel="0" collapsed="false">
      <c r="A145" s="68" t="s">
        <v>844</v>
      </c>
      <c r="B145" s="68" t="n">
        <v>1143</v>
      </c>
      <c r="C145" s="68" t="s">
        <v>46</v>
      </c>
      <c r="D145" s="68" t="s">
        <v>47</v>
      </c>
      <c r="E145" s="68" t="n">
        <v>2023</v>
      </c>
      <c r="F145" s="68" t="s">
        <v>797</v>
      </c>
      <c r="G145" s="68" t="s">
        <v>845</v>
      </c>
      <c r="H145" s="68" t="n">
        <v>100.99</v>
      </c>
      <c r="I145" s="68" t="n">
        <v>63.5</v>
      </c>
      <c r="J145" s="68" t="n">
        <v>4.25</v>
      </c>
      <c r="K145" s="68" t="n">
        <v>6</v>
      </c>
    </row>
    <row r="146" customFormat="false" ht="14.25" hidden="false" customHeight="true" outlineLevel="0" collapsed="false">
      <c r="A146" s="68" t="s">
        <v>844</v>
      </c>
      <c r="B146" s="68" t="n">
        <v>1144</v>
      </c>
      <c r="C146" s="68" t="s">
        <v>46</v>
      </c>
      <c r="D146" s="68" t="s">
        <v>47</v>
      </c>
      <c r="E146" s="68" t="n">
        <v>2023</v>
      </c>
      <c r="F146" s="68" t="s">
        <v>805</v>
      </c>
      <c r="G146" s="68" t="s">
        <v>845</v>
      </c>
      <c r="H146" s="68" t="n">
        <v>102.28</v>
      </c>
      <c r="I146" s="68" t="n">
        <v>47.6</v>
      </c>
      <c r="J146" s="68" t="n">
        <v>4.25</v>
      </c>
      <c r="K146" s="68" t="n">
        <v>155</v>
      </c>
    </row>
    <row r="147" customFormat="false" ht="14.25" hidden="false" customHeight="true" outlineLevel="0" collapsed="false">
      <c r="A147" s="68" t="s">
        <v>844</v>
      </c>
      <c r="B147" s="68" t="n">
        <v>1145</v>
      </c>
      <c r="C147" s="68" t="s">
        <v>46</v>
      </c>
      <c r="D147" s="68" t="s">
        <v>47</v>
      </c>
      <c r="E147" s="68" t="n">
        <v>2023</v>
      </c>
      <c r="F147" s="68" t="s">
        <v>801</v>
      </c>
      <c r="G147" s="68" t="s">
        <v>846</v>
      </c>
      <c r="H147" s="68" t="n">
        <v>87.46</v>
      </c>
      <c r="I147" s="68" t="n">
        <v>57.1</v>
      </c>
      <c r="J147" s="68" t="n">
        <v>4.18</v>
      </c>
      <c r="K147" s="68" t="n">
        <v>432</v>
      </c>
    </row>
    <row r="148" customFormat="false" ht="14.25" hidden="false" customHeight="true" outlineLevel="0" collapsed="false">
      <c r="A148" s="68" t="s">
        <v>844</v>
      </c>
      <c r="B148" s="68" t="n">
        <v>1146</v>
      </c>
      <c r="C148" s="68" t="s">
        <v>46</v>
      </c>
      <c r="D148" s="68" t="s">
        <v>47</v>
      </c>
      <c r="E148" s="68" t="n">
        <v>2024</v>
      </c>
      <c r="F148" s="68" t="s">
        <v>797</v>
      </c>
      <c r="G148" s="68" t="s">
        <v>845</v>
      </c>
      <c r="H148" s="68" t="n">
        <v>102.78</v>
      </c>
      <c r="I148" s="68" t="n">
        <v>47.7</v>
      </c>
      <c r="J148" s="68" t="n">
        <v>4.39</v>
      </c>
      <c r="K148" s="68" t="n">
        <v>397</v>
      </c>
    </row>
    <row r="149" customFormat="false" ht="14.25" hidden="false" customHeight="true" outlineLevel="0" collapsed="false">
      <c r="A149" s="68" t="s">
        <v>844</v>
      </c>
      <c r="B149" s="68" t="n">
        <v>1147</v>
      </c>
      <c r="C149" s="68" t="s">
        <v>46</v>
      </c>
      <c r="D149" s="68" t="s">
        <v>47</v>
      </c>
      <c r="E149" s="68" t="n">
        <v>2024</v>
      </c>
      <c r="F149" s="68" t="s">
        <v>797</v>
      </c>
      <c r="G149" s="68" t="s">
        <v>846</v>
      </c>
      <c r="H149" s="68" t="n">
        <v>98.59</v>
      </c>
      <c r="I149" s="68" t="n">
        <v>48.6</v>
      </c>
      <c r="J149" s="68" t="n">
        <v>4.01</v>
      </c>
      <c r="K149" s="68" t="n">
        <v>390</v>
      </c>
    </row>
    <row r="150" customFormat="false" ht="14.25" hidden="false" customHeight="true" outlineLevel="0" collapsed="false">
      <c r="A150" s="68" t="s">
        <v>844</v>
      </c>
      <c r="B150" s="68" t="n">
        <v>1148</v>
      </c>
      <c r="C150" s="68" t="s">
        <v>46</v>
      </c>
      <c r="D150" s="68" t="s">
        <v>47</v>
      </c>
      <c r="E150" s="68" t="n">
        <v>2024</v>
      </c>
      <c r="F150" s="68" t="s">
        <v>805</v>
      </c>
      <c r="G150" s="68" t="s">
        <v>845</v>
      </c>
      <c r="H150" s="68" t="n">
        <v>104.37</v>
      </c>
      <c r="I150" s="68" t="n">
        <v>50.5</v>
      </c>
      <c r="J150" s="68" t="n">
        <v>3.52</v>
      </c>
      <c r="K150" s="68" t="n">
        <v>280</v>
      </c>
    </row>
    <row r="151" customFormat="false" ht="14.25" hidden="false" customHeight="true" outlineLevel="0" collapsed="false">
      <c r="A151" s="68" t="s">
        <v>844</v>
      </c>
      <c r="B151" s="68" t="n">
        <v>1149</v>
      </c>
      <c r="C151" s="68" t="s">
        <v>46</v>
      </c>
      <c r="D151" s="68" t="s">
        <v>47</v>
      </c>
      <c r="E151" s="68" t="n">
        <v>2024</v>
      </c>
      <c r="F151" s="68" t="s">
        <v>798</v>
      </c>
      <c r="G151" s="68" t="s">
        <v>845</v>
      </c>
      <c r="H151" s="68" t="n">
        <v>120.29</v>
      </c>
      <c r="I151" s="68" t="n">
        <v>40.5</v>
      </c>
      <c r="J151" s="68" t="n">
        <v>3.81</v>
      </c>
      <c r="K151" s="68" t="n">
        <v>123</v>
      </c>
    </row>
    <row r="152" customFormat="false" ht="14.25" hidden="false" customHeight="true" outlineLevel="0" collapsed="false">
      <c r="A152" s="68" t="s">
        <v>844</v>
      </c>
      <c r="B152" s="68" t="n">
        <v>1150</v>
      </c>
      <c r="C152" s="68" t="s">
        <v>46</v>
      </c>
      <c r="D152" s="68" t="s">
        <v>47</v>
      </c>
      <c r="E152" s="68" t="n">
        <v>2024</v>
      </c>
      <c r="F152" s="68" t="s">
        <v>798</v>
      </c>
      <c r="G152" s="68" t="s">
        <v>846</v>
      </c>
      <c r="H152" s="68" t="n">
        <v>113.51</v>
      </c>
      <c r="I152" s="68" t="n">
        <v>50.3</v>
      </c>
      <c r="J152" s="68" t="n">
        <v>4.29</v>
      </c>
      <c r="K152" s="68" t="n">
        <v>588</v>
      </c>
    </row>
    <row r="153" customFormat="false" ht="14.25" hidden="false" customHeight="true" outlineLevel="0" collapsed="false">
      <c r="A153" s="68" t="s">
        <v>844</v>
      </c>
      <c r="B153" s="68" t="n">
        <v>1151</v>
      </c>
      <c r="C153" s="68" t="s">
        <v>46</v>
      </c>
      <c r="D153" s="68" t="s">
        <v>47</v>
      </c>
      <c r="E153" s="68" t="n">
        <v>2024</v>
      </c>
      <c r="F153" s="68" t="s">
        <v>801</v>
      </c>
      <c r="G153" s="68" t="s">
        <v>845</v>
      </c>
      <c r="H153" s="68" t="n">
        <v>100.13</v>
      </c>
      <c r="I153" s="68" t="n">
        <v>60.8</v>
      </c>
      <c r="J153" s="68" t="n">
        <v>3.92</v>
      </c>
      <c r="K153" s="68" t="n">
        <v>496</v>
      </c>
    </row>
    <row r="154" customFormat="false" ht="14.25" hidden="false" customHeight="true" outlineLevel="0" collapsed="false">
      <c r="A154" s="68" t="s">
        <v>844</v>
      </c>
      <c r="B154" s="68" t="n">
        <v>1152</v>
      </c>
      <c r="C154" s="68" t="s">
        <v>46</v>
      </c>
      <c r="D154" s="68" t="s">
        <v>47</v>
      </c>
      <c r="E154" s="68" t="n">
        <v>2025</v>
      </c>
      <c r="F154" s="68" t="s">
        <v>797</v>
      </c>
      <c r="G154" s="68" t="s">
        <v>846</v>
      </c>
      <c r="H154" s="68" t="n">
        <v>112.63</v>
      </c>
      <c r="I154" s="68" t="n">
        <v>43.3</v>
      </c>
      <c r="J154" s="68" t="n">
        <v>4.29</v>
      </c>
      <c r="K154" s="68" t="n">
        <v>540</v>
      </c>
    </row>
    <row r="155" customFormat="false" ht="14.25" hidden="false" customHeight="true" outlineLevel="0" collapsed="false">
      <c r="A155" s="68" t="s">
        <v>844</v>
      </c>
      <c r="B155" s="68" t="n">
        <v>1153</v>
      </c>
      <c r="C155" s="68" t="s">
        <v>46</v>
      </c>
      <c r="D155" s="68" t="s">
        <v>47</v>
      </c>
      <c r="E155" s="68" t="n">
        <v>2025</v>
      </c>
      <c r="F155" s="68" t="s">
        <v>805</v>
      </c>
      <c r="G155" s="68" t="s">
        <v>845</v>
      </c>
      <c r="H155" s="68" t="n">
        <v>114.39</v>
      </c>
      <c r="I155" s="68" t="n">
        <v>58.7</v>
      </c>
      <c r="J155" s="68" t="n">
        <v>3.94</v>
      </c>
      <c r="K155" s="68" t="n">
        <v>442</v>
      </c>
    </row>
    <row r="156" customFormat="false" ht="14.25" hidden="false" customHeight="true" outlineLevel="0" collapsed="false">
      <c r="A156" s="68" t="s">
        <v>844</v>
      </c>
      <c r="B156" s="68" t="n">
        <v>1154</v>
      </c>
      <c r="C156" s="68" t="s">
        <v>46</v>
      </c>
      <c r="D156" s="68" t="s">
        <v>47</v>
      </c>
      <c r="E156" s="68" t="n">
        <v>2025</v>
      </c>
      <c r="F156" s="68" t="s">
        <v>805</v>
      </c>
      <c r="G156" s="68" t="s">
        <v>846</v>
      </c>
      <c r="H156" s="68" t="n">
        <v>116.38</v>
      </c>
      <c r="I156" s="68" t="n">
        <v>43.3</v>
      </c>
      <c r="J156" s="68" t="n">
        <v>3.79</v>
      </c>
      <c r="K156" s="68" t="n">
        <v>28</v>
      </c>
    </row>
    <row r="157" customFormat="false" ht="14.25" hidden="false" customHeight="true" outlineLevel="0" collapsed="false">
      <c r="A157" s="68" t="s">
        <v>844</v>
      </c>
      <c r="B157" s="68" t="n">
        <v>1155</v>
      </c>
      <c r="C157" s="68" t="s">
        <v>46</v>
      </c>
      <c r="D157" s="68" t="s">
        <v>47</v>
      </c>
      <c r="E157" s="68" t="n">
        <v>2025</v>
      </c>
      <c r="F157" s="68" t="s">
        <v>798</v>
      </c>
      <c r="G157" s="68" t="s">
        <v>846</v>
      </c>
      <c r="H157" s="68" t="n">
        <v>115.53</v>
      </c>
      <c r="I157" s="68" t="n">
        <v>80</v>
      </c>
      <c r="J157" s="68" t="n">
        <v>4.01</v>
      </c>
      <c r="K157" s="68" t="n">
        <v>616</v>
      </c>
    </row>
    <row r="158" customFormat="false" ht="14.25" hidden="false" customHeight="true" outlineLevel="0" collapsed="false">
      <c r="A158" s="68" t="s">
        <v>844</v>
      </c>
      <c r="B158" s="68" t="n">
        <v>1156</v>
      </c>
      <c r="C158" s="68" t="s">
        <v>50</v>
      </c>
      <c r="D158" s="68" t="s">
        <v>51</v>
      </c>
      <c r="E158" s="68" t="n">
        <v>2022</v>
      </c>
      <c r="F158" s="68" t="s">
        <v>805</v>
      </c>
      <c r="G158" s="68" t="s">
        <v>845</v>
      </c>
      <c r="H158" s="68" t="n">
        <v>120.55</v>
      </c>
      <c r="I158" s="68" t="n">
        <v>23.6</v>
      </c>
      <c r="J158" s="68" t="n">
        <v>4.24</v>
      </c>
      <c r="K158" s="68" t="n">
        <v>647</v>
      </c>
    </row>
    <row r="159" customFormat="false" ht="14.25" hidden="false" customHeight="true" outlineLevel="0" collapsed="false">
      <c r="A159" s="68" t="s">
        <v>844</v>
      </c>
      <c r="B159" s="68" t="n">
        <v>1157</v>
      </c>
      <c r="C159" s="68" t="s">
        <v>50</v>
      </c>
      <c r="D159" s="68" t="s">
        <v>51</v>
      </c>
      <c r="E159" s="68" t="n">
        <v>2022</v>
      </c>
      <c r="F159" s="68" t="s">
        <v>805</v>
      </c>
      <c r="G159" s="68" t="s">
        <v>846</v>
      </c>
      <c r="H159" s="68" t="n">
        <v>133.22</v>
      </c>
      <c r="I159" s="68" t="n">
        <v>42.4</v>
      </c>
      <c r="J159" s="68" t="n">
        <v>4.73</v>
      </c>
      <c r="K159" s="68" t="n">
        <v>696</v>
      </c>
    </row>
    <row r="160" customFormat="false" ht="14.25" hidden="false" customHeight="true" outlineLevel="0" collapsed="false">
      <c r="A160" s="68" t="s">
        <v>844</v>
      </c>
      <c r="B160" s="68" t="n">
        <v>1158</v>
      </c>
      <c r="C160" s="68" t="s">
        <v>50</v>
      </c>
      <c r="D160" s="68" t="s">
        <v>51</v>
      </c>
      <c r="E160" s="68" t="n">
        <v>2022</v>
      </c>
      <c r="F160" s="68" t="s">
        <v>801</v>
      </c>
      <c r="G160" s="68" t="s">
        <v>845</v>
      </c>
      <c r="H160" s="68" t="n">
        <v>148.07</v>
      </c>
      <c r="I160" s="68" t="n">
        <v>54.4</v>
      </c>
      <c r="J160" s="68" t="n">
        <v>4.18</v>
      </c>
      <c r="K160" s="68" t="n">
        <v>717</v>
      </c>
    </row>
    <row r="161" customFormat="false" ht="14.25" hidden="false" customHeight="true" outlineLevel="0" collapsed="false">
      <c r="A161" s="68" t="s">
        <v>844</v>
      </c>
      <c r="B161" s="68" t="n">
        <v>1159</v>
      </c>
      <c r="C161" s="68" t="s">
        <v>50</v>
      </c>
      <c r="D161" s="68" t="s">
        <v>51</v>
      </c>
      <c r="E161" s="68" t="n">
        <v>2022</v>
      </c>
      <c r="F161" s="68" t="s">
        <v>801</v>
      </c>
      <c r="G161" s="68" t="s">
        <v>846</v>
      </c>
      <c r="H161" s="68" t="n">
        <v>131.34</v>
      </c>
      <c r="I161" s="68" t="n">
        <v>49.3</v>
      </c>
      <c r="J161" s="68" t="n">
        <v>4.69</v>
      </c>
      <c r="K161" s="68" t="n">
        <v>626</v>
      </c>
    </row>
    <row r="162" customFormat="false" ht="14.25" hidden="false" customHeight="true" outlineLevel="0" collapsed="false">
      <c r="A162" s="68" t="s">
        <v>844</v>
      </c>
      <c r="B162" s="68" t="n">
        <v>1160</v>
      </c>
      <c r="C162" s="68" t="s">
        <v>50</v>
      </c>
      <c r="D162" s="68" t="s">
        <v>51</v>
      </c>
      <c r="E162" s="68" t="n">
        <v>2023</v>
      </c>
      <c r="F162" s="68" t="s">
        <v>805</v>
      </c>
      <c r="G162" s="68" t="s">
        <v>846</v>
      </c>
      <c r="H162" s="68" t="n">
        <v>137.08</v>
      </c>
      <c r="I162" s="68" t="n">
        <v>26.4</v>
      </c>
      <c r="J162" s="68" t="n">
        <v>4.16</v>
      </c>
      <c r="K162" s="68" t="n">
        <v>134</v>
      </c>
    </row>
    <row r="163" customFormat="false" ht="14.25" hidden="false" customHeight="true" outlineLevel="0" collapsed="false">
      <c r="A163" s="68" t="s">
        <v>844</v>
      </c>
      <c r="B163" s="68" t="n">
        <v>1161</v>
      </c>
      <c r="C163" s="68" t="s">
        <v>50</v>
      </c>
      <c r="D163" s="68" t="s">
        <v>51</v>
      </c>
      <c r="E163" s="68" t="n">
        <v>2023</v>
      </c>
      <c r="F163" s="68" t="s">
        <v>798</v>
      </c>
      <c r="G163" s="68" t="s">
        <v>846</v>
      </c>
      <c r="H163" s="68" t="n">
        <v>152.27</v>
      </c>
      <c r="I163" s="68" t="n">
        <v>40.4</v>
      </c>
      <c r="J163" s="68" t="n">
        <v>3.98</v>
      </c>
      <c r="K163" s="68" t="n">
        <v>503</v>
      </c>
    </row>
    <row r="164" customFormat="false" ht="14.25" hidden="false" customHeight="true" outlineLevel="0" collapsed="false">
      <c r="A164" s="68" t="s">
        <v>844</v>
      </c>
      <c r="B164" s="68" t="n">
        <v>1162</v>
      </c>
      <c r="C164" s="68" t="s">
        <v>50</v>
      </c>
      <c r="D164" s="68" t="s">
        <v>51</v>
      </c>
      <c r="E164" s="68" t="n">
        <v>2023</v>
      </c>
      <c r="F164" s="68" t="s">
        <v>801</v>
      </c>
      <c r="G164" s="68" t="s">
        <v>846</v>
      </c>
      <c r="H164" s="68" t="n">
        <v>141.52</v>
      </c>
      <c r="I164" s="68" t="n">
        <v>47</v>
      </c>
      <c r="J164" s="68" t="n">
        <v>4.23</v>
      </c>
      <c r="K164" s="68" t="n">
        <v>713</v>
      </c>
    </row>
    <row r="165" customFormat="false" ht="14.25" hidden="false" customHeight="true" outlineLevel="0" collapsed="false">
      <c r="A165" s="68" t="s">
        <v>844</v>
      </c>
      <c r="B165" s="68" t="n">
        <v>1163</v>
      </c>
      <c r="C165" s="68" t="s">
        <v>50</v>
      </c>
      <c r="D165" s="68" t="s">
        <v>51</v>
      </c>
      <c r="E165" s="68" t="n">
        <v>2024</v>
      </c>
      <c r="F165" s="68" t="s">
        <v>805</v>
      </c>
      <c r="G165" s="68" t="s">
        <v>846</v>
      </c>
      <c r="H165" s="68" t="n">
        <v>173.89</v>
      </c>
      <c r="I165" s="68" t="n">
        <v>57</v>
      </c>
      <c r="J165" s="68" t="n">
        <v>4.34</v>
      </c>
      <c r="K165" s="68" t="n">
        <v>320</v>
      </c>
    </row>
    <row r="166" customFormat="false" ht="14.25" hidden="false" customHeight="true" outlineLevel="0" collapsed="false">
      <c r="A166" s="68" t="s">
        <v>844</v>
      </c>
      <c r="B166" s="68" t="n">
        <v>1164</v>
      </c>
      <c r="C166" s="68" t="s">
        <v>50</v>
      </c>
      <c r="D166" s="68" t="s">
        <v>51</v>
      </c>
      <c r="E166" s="68" t="n">
        <v>2024</v>
      </c>
      <c r="F166" s="68" t="s">
        <v>798</v>
      </c>
      <c r="G166" s="68" t="s">
        <v>846</v>
      </c>
      <c r="H166" s="68" t="n">
        <v>188.14</v>
      </c>
      <c r="I166" s="68" t="n">
        <v>82.3</v>
      </c>
      <c r="J166" s="68" t="n">
        <v>3.98</v>
      </c>
      <c r="K166" s="68" t="n">
        <v>526</v>
      </c>
    </row>
    <row r="167" customFormat="false" ht="14.25" hidden="false" customHeight="true" outlineLevel="0" collapsed="false">
      <c r="A167" s="68" t="s">
        <v>844</v>
      </c>
      <c r="B167" s="68" t="n">
        <v>1165</v>
      </c>
      <c r="C167" s="68" t="s">
        <v>50</v>
      </c>
      <c r="D167" s="68" t="s">
        <v>51</v>
      </c>
      <c r="E167" s="68" t="n">
        <v>2024</v>
      </c>
      <c r="F167" s="68" t="s">
        <v>801</v>
      </c>
      <c r="G167" s="68" t="s">
        <v>845</v>
      </c>
      <c r="H167" s="68" t="n">
        <v>152.33</v>
      </c>
      <c r="I167" s="68" t="n">
        <v>84.5</v>
      </c>
      <c r="J167" s="68" t="n">
        <v>4.3</v>
      </c>
      <c r="K167" s="68" t="n">
        <v>609</v>
      </c>
    </row>
    <row r="168" customFormat="false" ht="14.25" hidden="false" customHeight="true" outlineLevel="0" collapsed="false">
      <c r="A168" s="68" t="s">
        <v>844</v>
      </c>
      <c r="B168" s="68" t="n">
        <v>1166</v>
      </c>
      <c r="C168" s="68" t="s">
        <v>50</v>
      </c>
      <c r="D168" s="68" t="s">
        <v>51</v>
      </c>
      <c r="E168" s="68" t="n">
        <v>2025</v>
      </c>
      <c r="F168" s="68" t="s">
        <v>797</v>
      </c>
      <c r="G168" s="68" t="s">
        <v>846</v>
      </c>
      <c r="H168" s="68" t="n">
        <v>164.7</v>
      </c>
      <c r="I168" s="68" t="n">
        <v>34.8</v>
      </c>
      <c r="J168" s="68" t="n">
        <v>4.33</v>
      </c>
      <c r="K168" s="68" t="n">
        <v>798</v>
      </c>
    </row>
    <row r="169" customFormat="false" ht="14.25" hidden="false" customHeight="true" outlineLevel="0" collapsed="false">
      <c r="A169" s="68" t="s">
        <v>844</v>
      </c>
      <c r="B169" s="68" t="n">
        <v>1167</v>
      </c>
      <c r="C169" s="68" t="s">
        <v>50</v>
      </c>
      <c r="D169" s="68" t="s">
        <v>51</v>
      </c>
      <c r="E169" s="68" t="n">
        <v>2025</v>
      </c>
      <c r="F169" s="68" t="s">
        <v>805</v>
      </c>
      <c r="G169" s="68" t="s">
        <v>845</v>
      </c>
      <c r="H169" s="68" t="n">
        <v>171.27</v>
      </c>
      <c r="I169" s="68" t="n">
        <v>88.2</v>
      </c>
      <c r="J169" s="68" t="n">
        <v>4.17</v>
      </c>
      <c r="K169" s="68" t="n">
        <v>479</v>
      </c>
    </row>
    <row r="170" customFormat="false" ht="14.25" hidden="false" customHeight="true" outlineLevel="0" collapsed="false">
      <c r="A170" s="68" t="s">
        <v>844</v>
      </c>
      <c r="B170" s="68" t="n">
        <v>1168</v>
      </c>
      <c r="C170" s="68" t="s">
        <v>50</v>
      </c>
      <c r="D170" s="68" t="s">
        <v>51</v>
      </c>
      <c r="E170" s="68" t="n">
        <v>2025</v>
      </c>
      <c r="F170" s="68" t="s">
        <v>798</v>
      </c>
      <c r="G170" s="68" t="s">
        <v>845</v>
      </c>
      <c r="H170" s="68" t="n">
        <v>160.77</v>
      </c>
      <c r="I170" s="68" t="n">
        <v>43.7</v>
      </c>
      <c r="J170" s="68" t="n">
        <v>4.43</v>
      </c>
      <c r="K170" s="68" t="n">
        <v>497</v>
      </c>
    </row>
    <row r="171" customFormat="false" ht="14.25" hidden="false" customHeight="true" outlineLevel="0" collapsed="false">
      <c r="A171" s="68" t="s">
        <v>844</v>
      </c>
      <c r="B171" s="68" t="n">
        <v>1169</v>
      </c>
      <c r="C171" s="68" t="s">
        <v>50</v>
      </c>
      <c r="D171" s="68" t="s">
        <v>51</v>
      </c>
      <c r="E171" s="68" t="n">
        <v>2025</v>
      </c>
      <c r="F171" s="68" t="s">
        <v>798</v>
      </c>
      <c r="G171" s="68" t="s">
        <v>846</v>
      </c>
      <c r="H171" s="68" t="n">
        <v>166.55</v>
      </c>
      <c r="I171" s="68" t="n">
        <v>61.8</v>
      </c>
      <c r="J171" s="68" t="n">
        <v>4.72</v>
      </c>
      <c r="K171" s="68" t="n">
        <v>301</v>
      </c>
    </row>
    <row r="172" customFormat="false" ht="14.25" hidden="false" customHeight="true" outlineLevel="0" collapsed="false">
      <c r="A172" s="68" t="s">
        <v>844</v>
      </c>
      <c r="B172" s="68" t="n">
        <v>1170</v>
      </c>
      <c r="C172" s="68" t="s">
        <v>53</v>
      </c>
      <c r="D172" s="68" t="s">
        <v>54</v>
      </c>
      <c r="E172" s="68" t="n">
        <v>2022</v>
      </c>
      <c r="F172" s="68" t="s">
        <v>797</v>
      </c>
      <c r="G172" s="68" t="s">
        <v>845</v>
      </c>
      <c r="H172" s="68" t="n">
        <v>99.11</v>
      </c>
      <c r="I172" s="68" t="n">
        <v>80.4</v>
      </c>
      <c r="J172" s="68" t="n">
        <v>3.97</v>
      </c>
      <c r="K172" s="68" t="n">
        <v>542</v>
      </c>
    </row>
    <row r="173" customFormat="false" ht="14.25" hidden="false" customHeight="true" outlineLevel="0" collapsed="false">
      <c r="A173" s="68" t="s">
        <v>844</v>
      </c>
      <c r="B173" s="68" t="n">
        <v>1171</v>
      </c>
      <c r="C173" s="68" t="s">
        <v>53</v>
      </c>
      <c r="D173" s="68" t="s">
        <v>54</v>
      </c>
      <c r="E173" s="68" t="n">
        <v>2022</v>
      </c>
      <c r="F173" s="68" t="s">
        <v>798</v>
      </c>
      <c r="G173" s="68" t="s">
        <v>845</v>
      </c>
      <c r="H173" s="68" t="n">
        <v>103.76</v>
      </c>
      <c r="I173" s="68" t="n">
        <v>65.6</v>
      </c>
      <c r="J173" s="68" t="n">
        <v>4.85</v>
      </c>
      <c r="K173" s="68" t="n">
        <v>774</v>
      </c>
    </row>
    <row r="174" customFormat="false" ht="14.25" hidden="false" customHeight="true" outlineLevel="0" collapsed="false">
      <c r="A174" s="68" t="s">
        <v>844</v>
      </c>
      <c r="B174" s="68" t="n">
        <v>1172</v>
      </c>
      <c r="C174" s="68" t="s">
        <v>53</v>
      </c>
      <c r="D174" s="68" t="s">
        <v>54</v>
      </c>
      <c r="E174" s="68" t="n">
        <v>2022</v>
      </c>
      <c r="F174" s="68" t="s">
        <v>798</v>
      </c>
      <c r="G174" s="68" t="s">
        <v>846</v>
      </c>
      <c r="H174" s="68" t="n">
        <v>103</v>
      </c>
      <c r="I174" s="68" t="n">
        <v>36.2</v>
      </c>
      <c r="J174" s="68" t="n">
        <v>4.36</v>
      </c>
      <c r="K174" s="68" t="n">
        <v>791</v>
      </c>
    </row>
    <row r="175" customFormat="false" ht="14.25" hidden="false" customHeight="true" outlineLevel="0" collapsed="false">
      <c r="A175" s="68" t="s">
        <v>844</v>
      </c>
      <c r="B175" s="68" t="n">
        <v>1173</v>
      </c>
      <c r="C175" s="68" t="s">
        <v>53</v>
      </c>
      <c r="D175" s="68" t="s">
        <v>54</v>
      </c>
      <c r="E175" s="68" t="n">
        <v>2022</v>
      </c>
      <c r="F175" s="68" t="s">
        <v>801</v>
      </c>
      <c r="G175" s="68" t="s">
        <v>846</v>
      </c>
      <c r="H175" s="68" t="n">
        <v>112.31</v>
      </c>
      <c r="I175" s="68" t="n">
        <v>39.2</v>
      </c>
      <c r="J175" s="68" t="n">
        <v>3.84</v>
      </c>
      <c r="K175" s="68" t="n">
        <v>124</v>
      </c>
    </row>
    <row r="176" customFormat="false" ht="14.25" hidden="false" customHeight="true" outlineLevel="0" collapsed="false">
      <c r="A176" s="68" t="s">
        <v>844</v>
      </c>
      <c r="B176" s="68" t="n">
        <v>1174</v>
      </c>
      <c r="C176" s="68" t="s">
        <v>53</v>
      </c>
      <c r="D176" s="68" t="s">
        <v>54</v>
      </c>
      <c r="E176" s="68" t="n">
        <v>2023</v>
      </c>
      <c r="F176" s="68" t="s">
        <v>797</v>
      </c>
      <c r="G176" s="68" t="s">
        <v>845</v>
      </c>
      <c r="H176" s="68" t="n">
        <v>118.11</v>
      </c>
      <c r="I176" s="68" t="n">
        <v>27.5</v>
      </c>
      <c r="J176" s="68" t="n">
        <v>4.12</v>
      </c>
      <c r="K176" s="68" t="n">
        <v>507</v>
      </c>
    </row>
    <row r="177" customFormat="false" ht="14.25" hidden="false" customHeight="true" outlineLevel="0" collapsed="false">
      <c r="A177" s="68" t="s">
        <v>844</v>
      </c>
      <c r="B177" s="68" t="n">
        <v>1175</v>
      </c>
      <c r="C177" s="68" t="s">
        <v>53</v>
      </c>
      <c r="D177" s="68" t="s">
        <v>54</v>
      </c>
      <c r="E177" s="68" t="n">
        <v>2023</v>
      </c>
      <c r="F177" s="68" t="s">
        <v>797</v>
      </c>
      <c r="G177" s="68" t="s">
        <v>846</v>
      </c>
      <c r="H177" s="68" t="n">
        <v>110.28</v>
      </c>
      <c r="I177" s="68" t="n">
        <v>55.9</v>
      </c>
      <c r="J177" s="68" t="n">
        <v>4.53</v>
      </c>
      <c r="K177" s="68" t="n">
        <v>645</v>
      </c>
    </row>
    <row r="178" customFormat="false" ht="14.25" hidden="false" customHeight="true" outlineLevel="0" collapsed="false">
      <c r="A178" s="68" t="s">
        <v>844</v>
      </c>
      <c r="B178" s="68" t="n">
        <v>1176</v>
      </c>
      <c r="C178" s="68" t="s">
        <v>53</v>
      </c>
      <c r="D178" s="68" t="s">
        <v>54</v>
      </c>
      <c r="E178" s="68" t="n">
        <v>2023</v>
      </c>
      <c r="F178" s="68" t="s">
        <v>805</v>
      </c>
      <c r="G178" s="68" t="s">
        <v>845</v>
      </c>
      <c r="H178" s="68" t="n">
        <v>111.91</v>
      </c>
      <c r="I178" s="68" t="n">
        <v>45.3</v>
      </c>
      <c r="J178" s="68" t="n">
        <v>4.76</v>
      </c>
      <c r="K178" s="68" t="n">
        <v>380</v>
      </c>
    </row>
    <row r="179" customFormat="false" ht="14.25" hidden="false" customHeight="true" outlineLevel="0" collapsed="false">
      <c r="A179" s="68" t="s">
        <v>844</v>
      </c>
      <c r="B179" s="68" t="n">
        <v>1177</v>
      </c>
      <c r="C179" s="68" t="s">
        <v>53</v>
      </c>
      <c r="D179" s="68" t="s">
        <v>54</v>
      </c>
      <c r="E179" s="68" t="n">
        <v>2023</v>
      </c>
      <c r="F179" s="68" t="s">
        <v>805</v>
      </c>
      <c r="G179" s="68" t="s">
        <v>846</v>
      </c>
      <c r="H179" s="68" t="n">
        <v>106.76</v>
      </c>
      <c r="I179" s="68" t="n">
        <v>67.9</v>
      </c>
      <c r="J179" s="68" t="n">
        <v>4.29</v>
      </c>
      <c r="K179" s="68" t="n">
        <v>285</v>
      </c>
    </row>
    <row r="180" customFormat="false" ht="14.25" hidden="false" customHeight="true" outlineLevel="0" collapsed="false">
      <c r="A180" s="68" t="s">
        <v>844</v>
      </c>
      <c r="B180" s="68" t="n">
        <v>1178</v>
      </c>
      <c r="C180" s="68" t="s">
        <v>53</v>
      </c>
      <c r="D180" s="68" t="s">
        <v>54</v>
      </c>
      <c r="E180" s="68" t="n">
        <v>2023</v>
      </c>
      <c r="F180" s="68" t="s">
        <v>801</v>
      </c>
      <c r="G180" s="68" t="s">
        <v>845</v>
      </c>
      <c r="H180" s="68" t="n">
        <v>122.98</v>
      </c>
      <c r="I180" s="68" t="n">
        <v>51.2</v>
      </c>
      <c r="J180" s="68" t="n">
        <v>4.2</v>
      </c>
      <c r="K180" s="68" t="n">
        <v>597</v>
      </c>
    </row>
    <row r="181" customFormat="false" ht="14.25" hidden="false" customHeight="true" outlineLevel="0" collapsed="false">
      <c r="A181" s="68" t="s">
        <v>844</v>
      </c>
      <c r="B181" s="68" t="n">
        <v>1179</v>
      </c>
      <c r="C181" s="68" t="s">
        <v>53</v>
      </c>
      <c r="D181" s="68" t="s">
        <v>54</v>
      </c>
      <c r="E181" s="68" t="n">
        <v>2023</v>
      </c>
      <c r="F181" s="68" t="s">
        <v>801</v>
      </c>
      <c r="G181" s="68" t="s">
        <v>846</v>
      </c>
      <c r="H181" s="68" t="n">
        <v>117.45</v>
      </c>
      <c r="I181" s="68" t="n">
        <v>64.7</v>
      </c>
      <c r="J181" s="68" t="n">
        <v>4.15</v>
      </c>
      <c r="K181" s="68" t="n">
        <v>700</v>
      </c>
    </row>
    <row r="182" customFormat="false" ht="14.25" hidden="false" customHeight="true" outlineLevel="0" collapsed="false">
      <c r="A182" s="68" t="s">
        <v>844</v>
      </c>
      <c r="B182" s="68" t="n">
        <v>1180</v>
      </c>
      <c r="C182" s="68" t="s">
        <v>53</v>
      </c>
      <c r="D182" s="68" t="s">
        <v>54</v>
      </c>
      <c r="E182" s="68" t="n">
        <v>2024</v>
      </c>
      <c r="F182" s="68" t="s">
        <v>797</v>
      </c>
      <c r="G182" s="68" t="s">
        <v>846</v>
      </c>
      <c r="H182" s="68" t="n">
        <v>111.28</v>
      </c>
      <c r="I182" s="68" t="n">
        <v>78.7</v>
      </c>
      <c r="J182" s="68" t="n">
        <v>4.27</v>
      </c>
      <c r="K182" s="68" t="n">
        <v>863</v>
      </c>
    </row>
    <row r="183" customFormat="false" ht="14.25" hidden="false" customHeight="true" outlineLevel="0" collapsed="false">
      <c r="A183" s="68" t="s">
        <v>844</v>
      </c>
      <c r="B183" s="68" t="n">
        <v>1181</v>
      </c>
      <c r="C183" s="68" t="s">
        <v>53</v>
      </c>
      <c r="D183" s="68" t="s">
        <v>54</v>
      </c>
      <c r="E183" s="68" t="n">
        <v>2024</v>
      </c>
      <c r="F183" s="68" t="s">
        <v>798</v>
      </c>
      <c r="G183" s="68" t="s">
        <v>846</v>
      </c>
      <c r="H183" s="68" t="n">
        <v>92.28</v>
      </c>
      <c r="I183" s="68" t="n">
        <v>43.2</v>
      </c>
      <c r="J183" s="68" t="n">
        <v>3.86</v>
      </c>
      <c r="K183" s="68" t="n">
        <v>57</v>
      </c>
    </row>
    <row r="184" customFormat="false" ht="14.25" hidden="false" customHeight="true" outlineLevel="0" collapsed="false">
      <c r="A184" s="68" t="s">
        <v>844</v>
      </c>
      <c r="B184" s="68" t="n">
        <v>1182</v>
      </c>
      <c r="C184" s="68" t="s">
        <v>53</v>
      </c>
      <c r="D184" s="68" t="s">
        <v>54</v>
      </c>
      <c r="E184" s="68" t="n">
        <v>2024</v>
      </c>
      <c r="F184" s="68" t="s">
        <v>801</v>
      </c>
      <c r="G184" s="68" t="s">
        <v>845</v>
      </c>
      <c r="H184" s="68" t="n">
        <v>120.02</v>
      </c>
      <c r="I184" s="68" t="n">
        <v>43.4</v>
      </c>
      <c r="J184" s="68" t="n">
        <v>4.37</v>
      </c>
      <c r="K184" s="68" t="n">
        <v>527</v>
      </c>
    </row>
    <row r="185" customFormat="false" ht="14.25" hidden="false" customHeight="true" outlineLevel="0" collapsed="false">
      <c r="A185" s="68" t="s">
        <v>844</v>
      </c>
      <c r="B185" s="68" t="n">
        <v>1183</v>
      </c>
      <c r="C185" s="68" t="s">
        <v>53</v>
      </c>
      <c r="D185" s="68" t="s">
        <v>54</v>
      </c>
      <c r="E185" s="68" t="n">
        <v>2024</v>
      </c>
      <c r="F185" s="68" t="s">
        <v>801</v>
      </c>
      <c r="G185" s="68" t="s">
        <v>846</v>
      </c>
      <c r="H185" s="68" t="n">
        <v>137.66</v>
      </c>
      <c r="I185" s="68" t="n">
        <v>79.7</v>
      </c>
      <c r="J185" s="68" t="n">
        <v>4.56</v>
      </c>
      <c r="K185" s="68" t="n">
        <v>336</v>
      </c>
    </row>
    <row r="186" customFormat="false" ht="14.25" hidden="false" customHeight="true" outlineLevel="0" collapsed="false">
      <c r="A186" s="68" t="s">
        <v>844</v>
      </c>
      <c r="B186" s="68" t="n">
        <v>1184</v>
      </c>
      <c r="C186" s="68" t="s">
        <v>53</v>
      </c>
      <c r="D186" s="68" t="s">
        <v>54</v>
      </c>
      <c r="E186" s="68" t="n">
        <v>2025</v>
      </c>
      <c r="F186" s="68" t="s">
        <v>797</v>
      </c>
      <c r="G186" s="68" t="s">
        <v>845</v>
      </c>
      <c r="H186" s="68" t="n">
        <v>148.29</v>
      </c>
      <c r="I186" s="68" t="n">
        <v>54.5</v>
      </c>
      <c r="J186" s="68" t="n">
        <v>4.16</v>
      </c>
      <c r="K186" s="68" t="n">
        <v>194</v>
      </c>
    </row>
    <row r="187" customFormat="false" ht="14.25" hidden="false" customHeight="true" outlineLevel="0" collapsed="false">
      <c r="A187" s="68" t="s">
        <v>844</v>
      </c>
      <c r="B187" s="68" t="n">
        <v>1185</v>
      </c>
      <c r="C187" s="68" t="s">
        <v>53</v>
      </c>
      <c r="D187" s="68" t="s">
        <v>54</v>
      </c>
      <c r="E187" s="68" t="n">
        <v>2025</v>
      </c>
      <c r="F187" s="68" t="s">
        <v>805</v>
      </c>
      <c r="G187" s="68" t="s">
        <v>845</v>
      </c>
      <c r="H187" s="68" t="n">
        <v>142.17</v>
      </c>
      <c r="I187" s="68" t="n">
        <v>26.8</v>
      </c>
      <c r="J187" s="68" t="n">
        <v>4.58</v>
      </c>
      <c r="K187" s="68" t="n">
        <v>163</v>
      </c>
    </row>
    <row r="188" customFormat="false" ht="14.25" hidden="false" customHeight="true" outlineLevel="0" collapsed="false">
      <c r="A188" s="68" t="s">
        <v>844</v>
      </c>
      <c r="B188" s="68" t="n">
        <v>1186</v>
      </c>
      <c r="C188" s="68" t="s">
        <v>53</v>
      </c>
      <c r="D188" s="68" t="s">
        <v>54</v>
      </c>
      <c r="E188" s="68" t="n">
        <v>2025</v>
      </c>
      <c r="F188" s="68" t="s">
        <v>798</v>
      </c>
      <c r="G188" s="68" t="s">
        <v>845</v>
      </c>
      <c r="H188" s="68" t="n">
        <v>117.28</v>
      </c>
      <c r="I188" s="68" t="n">
        <v>76.3</v>
      </c>
      <c r="J188" s="68" t="n">
        <v>3.72</v>
      </c>
      <c r="K188" s="68" t="n">
        <v>283</v>
      </c>
    </row>
    <row r="189" customFormat="false" ht="14.25" hidden="false" customHeight="true" outlineLevel="0" collapsed="false">
      <c r="A189" s="68" t="s">
        <v>844</v>
      </c>
      <c r="B189" s="68" t="n">
        <v>1187</v>
      </c>
      <c r="C189" s="68" t="s">
        <v>55</v>
      </c>
      <c r="D189" s="68" t="s">
        <v>56</v>
      </c>
      <c r="E189" s="68" t="n">
        <v>2022</v>
      </c>
      <c r="F189" s="68" t="s">
        <v>797</v>
      </c>
      <c r="G189" s="68" t="s">
        <v>845</v>
      </c>
      <c r="H189" s="68" t="n">
        <v>87.31</v>
      </c>
      <c r="I189" s="68" t="n">
        <v>19.7</v>
      </c>
      <c r="J189" s="68" t="n">
        <v>4.49</v>
      </c>
      <c r="K189" s="68" t="n">
        <v>473</v>
      </c>
    </row>
    <row r="190" customFormat="false" ht="14.25" hidden="false" customHeight="true" outlineLevel="0" collapsed="false">
      <c r="A190" s="68" t="s">
        <v>844</v>
      </c>
      <c r="B190" s="68" t="n">
        <v>1188</v>
      </c>
      <c r="C190" s="68" t="s">
        <v>55</v>
      </c>
      <c r="D190" s="68" t="s">
        <v>56</v>
      </c>
      <c r="E190" s="68" t="n">
        <v>2022</v>
      </c>
      <c r="F190" s="68" t="s">
        <v>805</v>
      </c>
      <c r="G190" s="68" t="s">
        <v>845</v>
      </c>
      <c r="H190" s="68" t="n">
        <v>103.35</v>
      </c>
      <c r="I190" s="68" t="n">
        <v>59.7</v>
      </c>
      <c r="J190" s="68" t="n">
        <v>3.92</v>
      </c>
      <c r="K190" s="68" t="n">
        <v>453</v>
      </c>
    </row>
    <row r="191" customFormat="false" ht="14.25" hidden="false" customHeight="true" outlineLevel="0" collapsed="false">
      <c r="A191" s="68" t="s">
        <v>844</v>
      </c>
      <c r="B191" s="68" t="n">
        <v>1189</v>
      </c>
      <c r="C191" s="68" t="s">
        <v>55</v>
      </c>
      <c r="D191" s="68" t="s">
        <v>56</v>
      </c>
      <c r="E191" s="68" t="n">
        <v>2022</v>
      </c>
      <c r="F191" s="68" t="s">
        <v>805</v>
      </c>
      <c r="G191" s="68" t="s">
        <v>846</v>
      </c>
      <c r="H191" s="68" t="n">
        <v>100.04</v>
      </c>
      <c r="I191" s="68" t="n">
        <v>43.1</v>
      </c>
      <c r="J191" s="68" t="n">
        <v>4.18</v>
      </c>
      <c r="K191" s="68" t="n">
        <v>300</v>
      </c>
    </row>
    <row r="192" customFormat="false" ht="14.25" hidden="false" customHeight="true" outlineLevel="0" collapsed="false">
      <c r="A192" s="68" t="s">
        <v>844</v>
      </c>
      <c r="B192" s="68" t="n">
        <v>1190</v>
      </c>
      <c r="C192" s="68" t="s">
        <v>55</v>
      </c>
      <c r="D192" s="68" t="s">
        <v>56</v>
      </c>
      <c r="E192" s="68" t="n">
        <v>2022</v>
      </c>
      <c r="F192" s="68" t="s">
        <v>801</v>
      </c>
      <c r="G192" s="68" t="s">
        <v>845</v>
      </c>
      <c r="H192" s="68" t="n">
        <v>91.36</v>
      </c>
      <c r="I192" s="68" t="n">
        <v>67.2</v>
      </c>
      <c r="J192" s="68" t="n">
        <v>4.18</v>
      </c>
      <c r="K192" s="68" t="n">
        <v>306</v>
      </c>
    </row>
    <row r="193" customFormat="false" ht="14.25" hidden="false" customHeight="true" outlineLevel="0" collapsed="false">
      <c r="A193" s="68" t="s">
        <v>844</v>
      </c>
      <c r="B193" s="68" t="n">
        <v>1191</v>
      </c>
      <c r="C193" s="68" t="s">
        <v>55</v>
      </c>
      <c r="D193" s="68" t="s">
        <v>56</v>
      </c>
      <c r="E193" s="68" t="n">
        <v>2023</v>
      </c>
      <c r="F193" s="68" t="s">
        <v>797</v>
      </c>
      <c r="G193" s="68" t="s">
        <v>846</v>
      </c>
      <c r="H193" s="68" t="n">
        <v>95.5</v>
      </c>
      <c r="I193" s="68" t="n">
        <v>49</v>
      </c>
      <c r="J193" s="68" t="n">
        <v>3.44</v>
      </c>
      <c r="K193" s="68" t="n">
        <v>792</v>
      </c>
    </row>
    <row r="194" customFormat="false" ht="14.25" hidden="false" customHeight="true" outlineLevel="0" collapsed="false">
      <c r="A194" s="68" t="s">
        <v>844</v>
      </c>
      <c r="B194" s="68" t="n">
        <v>1192</v>
      </c>
      <c r="C194" s="68" t="s">
        <v>55</v>
      </c>
      <c r="D194" s="68" t="s">
        <v>56</v>
      </c>
      <c r="E194" s="68" t="n">
        <v>2023</v>
      </c>
      <c r="F194" s="68" t="s">
        <v>798</v>
      </c>
      <c r="G194" s="68" t="s">
        <v>846</v>
      </c>
      <c r="H194" s="68" t="n">
        <v>86.29</v>
      </c>
      <c r="I194" s="68" t="n">
        <v>31.1</v>
      </c>
      <c r="J194" s="68" t="n">
        <v>4.58</v>
      </c>
      <c r="K194" s="68" t="n">
        <v>662</v>
      </c>
    </row>
    <row r="195" customFormat="false" ht="14.25" hidden="false" customHeight="true" outlineLevel="0" collapsed="false">
      <c r="A195" s="68" t="s">
        <v>844</v>
      </c>
      <c r="B195" s="68" t="n">
        <v>1193</v>
      </c>
      <c r="C195" s="68" t="s">
        <v>55</v>
      </c>
      <c r="D195" s="68" t="s">
        <v>56</v>
      </c>
      <c r="E195" s="68" t="n">
        <v>2023</v>
      </c>
      <c r="F195" s="68" t="s">
        <v>801</v>
      </c>
      <c r="G195" s="68" t="s">
        <v>846</v>
      </c>
      <c r="H195" s="68" t="n">
        <v>88.93</v>
      </c>
      <c r="I195" s="68" t="n">
        <v>38.3</v>
      </c>
      <c r="J195" s="68" t="n">
        <v>3.55</v>
      </c>
      <c r="K195" s="68" t="n">
        <v>110</v>
      </c>
    </row>
    <row r="196" customFormat="false" ht="14.25" hidden="false" customHeight="true" outlineLevel="0" collapsed="false">
      <c r="A196" s="68" t="s">
        <v>844</v>
      </c>
      <c r="B196" s="68" t="n">
        <v>1194</v>
      </c>
      <c r="C196" s="68" t="s">
        <v>55</v>
      </c>
      <c r="D196" s="68" t="s">
        <v>56</v>
      </c>
      <c r="E196" s="68" t="n">
        <v>2024</v>
      </c>
      <c r="F196" s="68" t="s">
        <v>797</v>
      </c>
      <c r="G196" s="68" t="s">
        <v>846</v>
      </c>
      <c r="H196" s="68" t="n">
        <v>107.21</v>
      </c>
      <c r="I196" s="68" t="n">
        <v>22.2</v>
      </c>
      <c r="J196" s="68" t="n">
        <v>3.92</v>
      </c>
      <c r="K196" s="68" t="n">
        <v>480</v>
      </c>
    </row>
    <row r="197" customFormat="false" ht="14.25" hidden="false" customHeight="true" outlineLevel="0" collapsed="false">
      <c r="A197" s="68" t="s">
        <v>844</v>
      </c>
      <c r="B197" s="68" t="n">
        <v>1195</v>
      </c>
      <c r="C197" s="68" t="s">
        <v>55</v>
      </c>
      <c r="D197" s="68" t="s">
        <v>56</v>
      </c>
      <c r="E197" s="68" t="n">
        <v>2024</v>
      </c>
      <c r="F197" s="68" t="s">
        <v>805</v>
      </c>
      <c r="G197" s="68" t="s">
        <v>846</v>
      </c>
      <c r="H197" s="68" t="n">
        <v>102.76</v>
      </c>
      <c r="I197" s="68" t="n">
        <v>60.9</v>
      </c>
      <c r="J197" s="68" t="n">
        <v>3.99</v>
      </c>
      <c r="K197" s="68" t="n">
        <v>396</v>
      </c>
    </row>
    <row r="198" customFormat="false" ht="14.25" hidden="false" customHeight="true" outlineLevel="0" collapsed="false">
      <c r="A198" s="68" t="s">
        <v>844</v>
      </c>
      <c r="B198" s="68" t="n">
        <v>1196</v>
      </c>
      <c r="C198" s="68" t="s">
        <v>55</v>
      </c>
      <c r="D198" s="68" t="s">
        <v>56</v>
      </c>
      <c r="E198" s="68" t="n">
        <v>2024</v>
      </c>
      <c r="F198" s="68" t="s">
        <v>798</v>
      </c>
      <c r="G198" s="68" t="s">
        <v>845</v>
      </c>
      <c r="H198" s="68" t="n">
        <v>102.71</v>
      </c>
      <c r="I198" s="68" t="n">
        <v>33.8</v>
      </c>
      <c r="J198" s="68" t="n">
        <v>4.27</v>
      </c>
      <c r="K198" s="68" t="n">
        <v>545</v>
      </c>
    </row>
    <row r="199" customFormat="false" ht="14.25" hidden="false" customHeight="true" outlineLevel="0" collapsed="false">
      <c r="A199" s="68" t="s">
        <v>844</v>
      </c>
      <c r="B199" s="68" t="n">
        <v>1197</v>
      </c>
      <c r="C199" s="68" t="s">
        <v>55</v>
      </c>
      <c r="D199" s="68" t="s">
        <v>56</v>
      </c>
      <c r="E199" s="68" t="n">
        <v>2024</v>
      </c>
      <c r="F199" s="68" t="s">
        <v>801</v>
      </c>
      <c r="G199" s="68" t="s">
        <v>845</v>
      </c>
      <c r="H199" s="68" t="n">
        <v>116</v>
      </c>
      <c r="I199" s="68" t="n">
        <v>75.8</v>
      </c>
      <c r="J199" s="68" t="n">
        <v>4.01</v>
      </c>
      <c r="K199" s="68" t="n">
        <v>588</v>
      </c>
    </row>
    <row r="200" customFormat="false" ht="14.25" hidden="false" customHeight="true" outlineLevel="0" collapsed="false">
      <c r="A200" s="68" t="s">
        <v>844</v>
      </c>
      <c r="B200" s="68" t="n">
        <v>1198</v>
      </c>
      <c r="C200" s="68" t="s">
        <v>55</v>
      </c>
      <c r="D200" s="68" t="s">
        <v>56</v>
      </c>
      <c r="E200" s="68" t="n">
        <v>2024</v>
      </c>
      <c r="F200" s="68" t="s">
        <v>801</v>
      </c>
      <c r="G200" s="68" t="s">
        <v>846</v>
      </c>
      <c r="H200" s="68" t="n">
        <v>111.93</v>
      </c>
      <c r="I200" s="68" t="n">
        <v>47.6</v>
      </c>
      <c r="J200" s="68" t="n">
        <v>3.77</v>
      </c>
      <c r="K200" s="68" t="n">
        <v>299</v>
      </c>
    </row>
    <row r="201" customFormat="false" ht="14.25" hidden="false" customHeight="true" outlineLevel="0" collapsed="false">
      <c r="A201" s="68" t="s">
        <v>844</v>
      </c>
      <c r="B201" s="68" t="n">
        <v>1199</v>
      </c>
      <c r="C201" s="68" t="s">
        <v>55</v>
      </c>
      <c r="D201" s="68" t="s">
        <v>56</v>
      </c>
      <c r="E201" s="68" t="n">
        <v>2025</v>
      </c>
      <c r="F201" s="68" t="s">
        <v>797</v>
      </c>
      <c r="G201" s="68" t="s">
        <v>845</v>
      </c>
      <c r="H201" s="68" t="n">
        <v>112.67</v>
      </c>
      <c r="I201" s="68" t="n">
        <v>39.9</v>
      </c>
      <c r="J201" s="68" t="n">
        <v>3.41</v>
      </c>
      <c r="K201" s="68" t="n">
        <v>57</v>
      </c>
    </row>
    <row r="202" customFormat="false" ht="14.25" hidden="false" customHeight="true" outlineLevel="0" collapsed="false">
      <c r="A202" s="68" t="s">
        <v>844</v>
      </c>
      <c r="B202" s="68" t="n">
        <v>1200</v>
      </c>
      <c r="C202" s="68" t="s">
        <v>55</v>
      </c>
      <c r="D202" s="68" t="s">
        <v>56</v>
      </c>
      <c r="E202" s="68" t="n">
        <v>2025</v>
      </c>
      <c r="F202" s="68" t="s">
        <v>797</v>
      </c>
      <c r="G202" s="68" t="s">
        <v>846</v>
      </c>
      <c r="H202" s="68" t="n">
        <v>110.52</v>
      </c>
      <c r="I202" s="68" t="n">
        <v>34.1</v>
      </c>
      <c r="J202" s="68" t="n">
        <v>3.84</v>
      </c>
      <c r="K202" s="68" t="n">
        <v>836</v>
      </c>
    </row>
    <row r="203" customFormat="false" ht="14.25" hidden="false" customHeight="true" outlineLevel="0" collapsed="false">
      <c r="A203" s="68" t="s">
        <v>844</v>
      </c>
      <c r="B203" s="68" t="n">
        <v>1201</v>
      </c>
      <c r="C203" s="68" t="s">
        <v>55</v>
      </c>
      <c r="D203" s="68" t="s">
        <v>56</v>
      </c>
      <c r="E203" s="68" t="n">
        <v>2025</v>
      </c>
      <c r="F203" s="68" t="s">
        <v>805</v>
      </c>
      <c r="G203" s="68" t="s">
        <v>845</v>
      </c>
      <c r="H203" s="68" t="n">
        <v>114.92</v>
      </c>
      <c r="I203" s="68" t="n">
        <v>58.5</v>
      </c>
      <c r="J203" s="68" t="n">
        <v>4.24</v>
      </c>
      <c r="K203" s="68" t="n">
        <v>725</v>
      </c>
    </row>
    <row r="204" customFormat="false" ht="14.25" hidden="false" customHeight="true" outlineLevel="0" collapsed="false">
      <c r="A204" s="68" t="s">
        <v>844</v>
      </c>
      <c r="B204" s="68" t="n">
        <v>1202</v>
      </c>
      <c r="C204" s="68" t="s">
        <v>55</v>
      </c>
      <c r="D204" s="68" t="s">
        <v>56</v>
      </c>
      <c r="E204" s="68" t="n">
        <v>2025</v>
      </c>
      <c r="F204" s="68" t="s">
        <v>805</v>
      </c>
      <c r="G204" s="68" t="s">
        <v>846</v>
      </c>
      <c r="H204" s="68" t="n">
        <v>105.5</v>
      </c>
      <c r="I204" s="68" t="n">
        <v>46.3</v>
      </c>
      <c r="J204" s="68" t="n">
        <v>4.49</v>
      </c>
      <c r="K204" s="68" t="n">
        <v>25</v>
      </c>
    </row>
    <row r="205" customFormat="false" ht="14.25" hidden="false" customHeight="true" outlineLevel="0" collapsed="false">
      <c r="A205" s="68" t="s">
        <v>844</v>
      </c>
      <c r="B205" s="68" t="n">
        <v>1203</v>
      </c>
      <c r="C205" s="68" t="s">
        <v>55</v>
      </c>
      <c r="D205" s="68" t="s">
        <v>56</v>
      </c>
      <c r="E205" s="68" t="n">
        <v>2025</v>
      </c>
      <c r="F205" s="68" t="s">
        <v>798</v>
      </c>
      <c r="G205" s="68" t="s">
        <v>845</v>
      </c>
      <c r="H205" s="68" t="n">
        <v>106.34</v>
      </c>
      <c r="I205" s="68" t="n">
        <v>77</v>
      </c>
      <c r="J205" s="68" t="n">
        <v>3.85</v>
      </c>
      <c r="K205" s="68" t="n">
        <v>623</v>
      </c>
    </row>
    <row r="206" customFormat="false" ht="14.25" hidden="false" customHeight="true" outlineLevel="0" collapsed="false">
      <c r="A206" s="68" t="s">
        <v>844</v>
      </c>
      <c r="B206" s="68" t="n">
        <v>1204</v>
      </c>
      <c r="C206" s="68" t="s">
        <v>55</v>
      </c>
      <c r="D206" s="68" t="s">
        <v>56</v>
      </c>
      <c r="E206" s="68" t="n">
        <v>2025</v>
      </c>
      <c r="F206" s="68" t="s">
        <v>798</v>
      </c>
      <c r="G206" s="68" t="s">
        <v>846</v>
      </c>
      <c r="H206" s="68" t="n">
        <v>108.85</v>
      </c>
      <c r="I206" s="68" t="n">
        <v>56.5</v>
      </c>
      <c r="J206" s="68" t="n">
        <v>5</v>
      </c>
      <c r="K206" s="68" t="n">
        <v>298</v>
      </c>
    </row>
    <row r="207" customFormat="false" ht="14.25" hidden="false" customHeight="true" outlineLevel="0" collapsed="false">
      <c r="A207" s="68" t="s">
        <v>844</v>
      </c>
      <c r="B207" s="68" t="n">
        <v>1205</v>
      </c>
      <c r="C207" s="68" t="s">
        <v>57</v>
      </c>
      <c r="D207" s="68" t="s">
        <v>58</v>
      </c>
      <c r="E207" s="68" t="n">
        <v>2022</v>
      </c>
      <c r="F207" s="68" t="s">
        <v>797</v>
      </c>
      <c r="G207" s="68" t="s">
        <v>846</v>
      </c>
      <c r="H207" s="68" t="n">
        <v>105.58</v>
      </c>
      <c r="I207" s="68" t="n">
        <v>32.2</v>
      </c>
      <c r="J207" s="68" t="n">
        <v>4.29</v>
      </c>
      <c r="K207" s="68" t="n">
        <v>777</v>
      </c>
    </row>
    <row r="208" customFormat="false" ht="14.25" hidden="false" customHeight="true" outlineLevel="0" collapsed="false">
      <c r="A208" s="68" t="s">
        <v>844</v>
      </c>
      <c r="B208" s="68" t="n">
        <v>1206</v>
      </c>
      <c r="C208" s="68" t="s">
        <v>57</v>
      </c>
      <c r="D208" s="68" t="s">
        <v>58</v>
      </c>
      <c r="E208" s="68" t="n">
        <v>2022</v>
      </c>
      <c r="F208" s="68" t="s">
        <v>805</v>
      </c>
      <c r="G208" s="68" t="s">
        <v>846</v>
      </c>
      <c r="H208" s="68" t="n">
        <v>85.37</v>
      </c>
      <c r="I208" s="68" t="n">
        <v>49.4</v>
      </c>
      <c r="J208" s="68" t="n">
        <v>4.02</v>
      </c>
      <c r="K208" s="68" t="n">
        <v>513</v>
      </c>
    </row>
    <row r="209" customFormat="false" ht="14.25" hidden="false" customHeight="true" outlineLevel="0" collapsed="false">
      <c r="A209" s="68" t="s">
        <v>844</v>
      </c>
      <c r="B209" s="68" t="n">
        <v>1207</v>
      </c>
      <c r="C209" s="68" t="s">
        <v>57</v>
      </c>
      <c r="D209" s="68" t="s">
        <v>58</v>
      </c>
      <c r="E209" s="68" t="n">
        <v>2022</v>
      </c>
      <c r="F209" s="68" t="s">
        <v>801</v>
      </c>
      <c r="G209" s="68" t="s">
        <v>845</v>
      </c>
      <c r="H209" s="68" t="n">
        <v>115.55</v>
      </c>
      <c r="I209" s="68" t="n">
        <v>32.3</v>
      </c>
      <c r="J209" s="68" t="n">
        <v>4.47</v>
      </c>
      <c r="K209" s="68" t="n">
        <v>198</v>
      </c>
    </row>
    <row r="210" customFormat="false" ht="14.25" hidden="false" customHeight="true" outlineLevel="0" collapsed="false">
      <c r="A210" s="68" t="s">
        <v>844</v>
      </c>
      <c r="B210" s="68" t="n">
        <v>1208</v>
      </c>
      <c r="C210" s="68" t="s">
        <v>57</v>
      </c>
      <c r="D210" s="68" t="s">
        <v>58</v>
      </c>
      <c r="E210" s="68" t="n">
        <v>2022</v>
      </c>
      <c r="F210" s="68" t="s">
        <v>801</v>
      </c>
      <c r="G210" s="68" t="s">
        <v>846</v>
      </c>
      <c r="H210" s="68" t="n">
        <v>103.5</v>
      </c>
      <c r="I210" s="68" t="n">
        <v>55.3</v>
      </c>
      <c r="J210" s="68" t="n">
        <v>4.09</v>
      </c>
      <c r="K210" s="68" t="n">
        <v>746</v>
      </c>
    </row>
    <row r="211" customFormat="false" ht="14.25" hidden="false" customHeight="true" outlineLevel="0" collapsed="false">
      <c r="A211" s="68" t="s">
        <v>844</v>
      </c>
      <c r="B211" s="68" t="n">
        <v>1209</v>
      </c>
      <c r="C211" s="68" t="s">
        <v>57</v>
      </c>
      <c r="D211" s="68" t="s">
        <v>58</v>
      </c>
      <c r="E211" s="68" t="n">
        <v>2023</v>
      </c>
      <c r="F211" s="68" t="s">
        <v>797</v>
      </c>
      <c r="G211" s="68" t="s">
        <v>846</v>
      </c>
      <c r="H211" s="68" t="n">
        <v>104.68</v>
      </c>
      <c r="I211" s="68" t="n">
        <v>39.1</v>
      </c>
      <c r="J211" s="68" t="n">
        <v>3.99</v>
      </c>
      <c r="K211" s="68" t="n">
        <v>511</v>
      </c>
    </row>
    <row r="212" customFormat="false" ht="14.25" hidden="false" customHeight="true" outlineLevel="0" collapsed="false">
      <c r="A212" s="68" t="s">
        <v>844</v>
      </c>
      <c r="B212" s="68" t="n">
        <v>1210</v>
      </c>
      <c r="C212" s="68" t="s">
        <v>57</v>
      </c>
      <c r="D212" s="68" t="s">
        <v>58</v>
      </c>
      <c r="E212" s="68" t="n">
        <v>2023</v>
      </c>
      <c r="F212" s="68" t="s">
        <v>805</v>
      </c>
      <c r="G212" s="68" t="s">
        <v>845</v>
      </c>
      <c r="H212" s="68" t="n">
        <v>116.15</v>
      </c>
      <c r="I212" s="68" t="n">
        <v>52.1</v>
      </c>
      <c r="J212" s="68" t="n">
        <v>3.62</v>
      </c>
      <c r="K212" s="68" t="n">
        <v>159</v>
      </c>
    </row>
    <row r="213" customFormat="false" ht="14.25" hidden="false" customHeight="true" outlineLevel="0" collapsed="false">
      <c r="A213" s="68" t="s">
        <v>844</v>
      </c>
      <c r="B213" s="68" t="n">
        <v>1211</v>
      </c>
      <c r="C213" s="68" t="s">
        <v>57</v>
      </c>
      <c r="D213" s="68" t="s">
        <v>58</v>
      </c>
      <c r="E213" s="68" t="n">
        <v>2023</v>
      </c>
      <c r="F213" s="68" t="s">
        <v>801</v>
      </c>
      <c r="G213" s="68" t="s">
        <v>845</v>
      </c>
      <c r="H213" s="68" t="n">
        <v>110.76</v>
      </c>
      <c r="I213" s="68" t="n">
        <v>52.5</v>
      </c>
      <c r="J213" s="68" t="n">
        <v>4.55</v>
      </c>
      <c r="K213" s="68" t="n">
        <v>332</v>
      </c>
    </row>
    <row r="214" customFormat="false" ht="14.25" hidden="false" customHeight="true" outlineLevel="0" collapsed="false">
      <c r="A214" s="68" t="s">
        <v>844</v>
      </c>
      <c r="B214" s="68" t="n">
        <v>1212</v>
      </c>
      <c r="C214" s="68" t="s">
        <v>57</v>
      </c>
      <c r="D214" s="68" t="s">
        <v>58</v>
      </c>
      <c r="E214" s="68" t="n">
        <v>2023</v>
      </c>
      <c r="F214" s="68" t="s">
        <v>801</v>
      </c>
      <c r="G214" s="68" t="s">
        <v>846</v>
      </c>
      <c r="H214" s="68" t="n">
        <v>111.21</v>
      </c>
      <c r="I214" s="68" t="n">
        <v>55.5</v>
      </c>
      <c r="J214" s="68" t="n">
        <v>4.14</v>
      </c>
      <c r="K214" s="68" t="n">
        <v>63</v>
      </c>
    </row>
    <row r="215" customFormat="false" ht="14.25" hidden="false" customHeight="true" outlineLevel="0" collapsed="false">
      <c r="A215" s="68" t="s">
        <v>844</v>
      </c>
      <c r="B215" s="68" t="n">
        <v>1213</v>
      </c>
      <c r="C215" s="68" t="s">
        <v>57</v>
      </c>
      <c r="D215" s="68" t="s">
        <v>58</v>
      </c>
      <c r="E215" s="68" t="n">
        <v>2024</v>
      </c>
      <c r="F215" s="68" t="s">
        <v>805</v>
      </c>
      <c r="G215" s="68" t="s">
        <v>845</v>
      </c>
      <c r="H215" s="68" t="n">
        <v>99.7</v>
      </c>
      <c r="I215" s="68" t="n">
        <v>34.3</v>
      </c>
      <c r="J215" s="68" t="n">
        <v>4.52</v>
      </c>
      <c r="K215" s="68" t="n">
        <v>731</v>
      </c>
    </row>
    <row r="216" customFormat="false" ht="14.25" hidden="false" customHeight="true" outlineLevel="0" collapsed="false">
      <c r="A216" s="68" t="s">
        <v>844</v>
      </c>
      <c r="B216" s="68" t="n">
        <v>1214</v>
      </c>
      <c r="C216" s="68" t="s">
        <v>57</v>
      </c>
      <c r="D216" s="68" t="s">
        <v>58</v>
      </c>
      <c r="E216" s="68" t="n">
        <v>2024</v>
      </c>
      <c r="F216" s="68" t="s">
        <v>805</v>
      </c>
      <c r="G216" s="68" t="s">
        <v>846</v>
      </c>
      <c r="H216" s="68" t="n">
        <v>96.94</v>
      </c>
      <c r="I216" s="68" t="n">
        <v>75.9</v>
      </c>
      <c r="J216" s="68" t="n">
        <v>4.65</v>
      </c>
      <c r="K216" s="68" t="n">
        <v>295</v>
      </c>
    </row>
    <row r="217" customFormat="false" ht="14.25" hidden="false" customHeight="true" outlineLevel="0" collapsed="false">
      <c r="A217" s="68" t="s">
        <v>844</v>
      </c>
      <c r="B217" s="68" t="n">
        <v>1215</v>
      </c>
      <c r="C217" s="68" t="s">
        <v>57</v>
      </c>
      <c r="D217" s="68" t="s">
        <v>58</v>
      </c>
      <c r="E217" s="68" t="n">
        <v>2024</v>
      </c>
      <c r="F217" s="68" t="s">
        <v>798</v>
      </c>
      <c r="G217" s="68" t="s">
        <v>845</v>
      </c>
      <c r="H217" s="68" t="n">
        <v>107.4</v>
      </c>
      <c r="I217" s="68" t="n">
        <v>60.8</v>
      </c>
      <c r="J217" s="68" t="n">
        <v>4.31</v>
      </c>
      <c r="K217" s="68" t="n">
        <v>80</v>
      </c>
    </row>
    <row r="218" customFormat="false" ht="14.25" hidden="false" customHeight="true" outlineLevel="0" collapsed="false">
      <c r="A218" s="68" t="s">
        <v>844</v>
      </c>
      <c r="B218" s="68" t="n">
        <v>1216</v>
      </c>
      <c r="C218" s="68" t="s">
        <v>57</v>
      </c>
      <c r="D218" s="68" t="s">
        <v>58</v>
      </c>
      <c r="E218" s="68" t="n">
        <v>2024</v>
      </c>
      <c r="F218" s="68" t="s">
        <v>801</v>
      </c>
      <c r="G218" s="68" t="s">
        <v>845</v>
      </c>
      <c r="H218" s="68" t="n">
        <v>123.57</v>
      </c>
      <c r="I218" s="68" t="n">
        <v>41.8</v>
      </c>
      <c r="J218" s="68" t="n">
        <v>4.37</v>
      </c>
      <c r="K218" s="68" t="n">
        <v>756</v>
      </c>
    </row>
    <row r="219" customFormat="false" ht="14.25" hidden="false" customHeight="true" outlineLevel="0" collapsed="false">
      <c r="A219" s="68" t="s">
        <v>844</v>
      </c>
      <c r="B219" s="68" t="n">
        <v>1217</v>
      </c>
      <c r="C219" s="68" t="s">
        <v>57</v>
      </c>
      <c r="D219" s="68" t="s">
        <v>58</v>
      </c>
      <c r="E219" s="68" t="n">
        <v>2024</v>
      </c>
      <c r="F219" s="68" t="s">
        <v>801</v>
      </c>
      <c r="G219" s="68" t="s">
        <v>846</v>
      </c>
      <c r="H219" s="68" t="n">
        <v>111.58</v>
      </c>
      <c r="I219" s="68" t="n">
        <v>63.7</v>
      </c>
      <c r="J219" s="68" t="n">
        <v>4.5</v>
      </c>
      <c r="K219" s="68" t="n">
        <v>484</v>
      </c>
    </row>
    <row r="220" customFormat="false" ht="14.25" hidden="false" customHeight="true" outlineLevel="0" collapsed="false">
      <c r="A220" s="68" t="s">
        <v>844</v>
      </c>
      <c r="B220" s="68" t="n">
        <v>1218</v>
      </c>
      <c r="C220" s="68" t="s">
        <v>57</v>
      </c>
      <c r="D220" s="68" t="s">
        <v>58</v>
      </c>
      <c r="E220" s="68" t="n">
        <v>2025</v>
      </c>
      <c r="F220" s="68" t="s">
        <v>797</v>
      </c>
      <c r="G220" s="68" t="s">
        <v>846</v>
      </c>
      <c r="H220" s="68" t="n">
        <v>98.05</v>
      </c>
      <c r="I220" s="68" t="n">
        <v>67.9</v>
      </c>
      <c r="J220" s="68" t="n">
        <v>3.91</v>
      </c>
      <c r="K220" s="68" t="n">
        <v>136</v>
      </c>
    </row>
    <row r="221" customFormat="false" ht="14.25" hidden="false" customHeight="true" outlineLevel="0" collapsed="false">
      <c r="A221" s="68" t="s">
        <v>844</v>
      </c>
      <c r="B221" s="68" t="n">
        <v>1219</v>
      </c>
      <c r="C221" s="68" t="s">
        <v>57</v>
      </c>
      <c r="D221" s="68" t="s">
        <v>58</v>
      </c>
      <c r="E221" s="68" t="n">
        <v>2025</v>
      </c>
      <c r="F221" s="68" t="s">
        <v>805</v>
      </c>
      <c r="G221" s="68" t="s">
        <v>845</v>
      </c>
      <c r="H221" s="68" t="n">
        <v>113.02</v>
      </c>
      <c r="I221" s="68" t="n">
        <v>58.9</v>
      </c>
      <c r="J221" s="68" t="n">
        <v>3.81</v>
      </c>
      <c r="K221" s="68" t="n">
        <v>283</v>
      </c>
    </row>
    <row r="222" customFormat="false" ht="14.25" hidden="false" customHeight="true" outlineLevel="0" collapsed="false">
      <c r="A222" s="68" t="s">
        <v>844</v>
      </c>
      <c r="B222" s="68" t="n">
        <v>1220</v>
      </c>
      <c r="C222" s="68" t="s">
        <v>57</v>
      </c>
      <c r="D222" s="68" t="s">
        <v>58</v>
      </c>
      <c r="E222" s="68" t="n">
        <v>2025</v>
      </c>
      <c r="F222" s="68" t="s">
        <v>805</v>
      </c>
      <c r="G222" s="68" t="s">
        <v>846</v>
      </c>
      <c r="H222" s="68" t="n">
        <v>127.77</v>
      </c>
      <c r="I222" s="68" t="n">
        <v>39</v>
      </c>
      <c r="J222" s="68" t="n">
        <v>3.84</v>
      </c>
      <c r="K222" s="68" t="n">
        <v>436</v>
      </c>
    </row>
    <row r="223" customFormat="false" ht="14.25" hidden="false" customHeight="true" outlineLevel="0" collapsed="false">
      <c r="A223" s="68" t="s">
        <v>844</v>
      </c>
      <c r="B223" s="68" t="n">
        <v>1221</v>
      </c>
      <c r="C223" s="68" t="s">
        <v>57</v>
      </c>
      <c r="D223" s="68" t="s">
        <v>58</v>
      </c>
      <c r="E223" s="68" t="n">
        <v>2025</v>
      </c>
      <c r="F223" s="68" t="s">
        <v>798</v>
      </c>
      <c r="G223" s="68" t="s">
        <v>845</v>
      </c>
      <c r="H223" s="68" t="n">
        <v>121.16</v>
      </c>
      <c r="I223" s="68" t="n">
        <v>46.6</v>
      </c>
      <c r="J223" s="68" t="n">
        <v>3.53</v>
      </c>
      <c r="K223" s="68" t="n">
        <v>379</v>
      </c>
    </row>
    <row r="224" customFormat="false" ht="14.25" hidden="false" customHeight="true" outlineLevel="0" collapsed="false">
      <c r="A224" s="68" t="s">
        <v>844</v>
      </c>
      <c r="B224" s="68" t="n">
        <v>1222</v>
      </c>
      <c r="C224" s="68" t="s">
        <v>57</v>
      </c>
      <c r="D224" s="68" t="s">
        <v>58</v>
      </c>
      <c r="E224" s="68" t="n">
        <v>2025</v>
      </c>
      <c r="F224" s="68" t="s">
        <v>798</v>
      </c>
      <c r="G224" s="68" t="s">
        <v>846</v>
      </c>
      <c r="H224" s="68" t="n">
        <v>124.51</v>
      </c>
      <c r="I224" s="68" t="n">
        <v>53.6</v>
      </c>
      <c r="J224" s="68" t="n">
        <v>3.83</v>
      </c>
      <c r="K224" s="68" t="n">
        <v>81</v>
      </c>
    </row>
    <row r="225" customFormat="false" ht="14.25" hidden="false" customHeight="true" outlineLevel="0" collapsed="false">
      <c r="A225" s="68" t="s">
        <v>844</v>
      </c>
      <c r="B225" s="68" t="n">
        <v>1223</v>
      </c>
      <c r="C225" s="68" t="s">
        <v>61</v>
      </c>
      <c r="D225" s="68" t="s">
        <v>62</v>
      </c>
      <c r="E225" s="68" t="n">
        <v>2022</v>
      </c>
      <c r="F225" s="68" t="s">
        <v>805</v>
      </c>
      <c r="G225" s="68" t="s">
        <v>846</v>
      </c>
      <c r="H225" s="68" t="n">
        <v>115.89</v>
      </c>
      <c r="I225" s="68" t="n">
        <v>39.6</v>
      </c>
      <c r="J225" s="68" t="n">
        <v>4.33</v>
      </c>
      <c r="K225" s="68" t="n">
        <v>367</v>
      </c>
    </row>
    <row r="226" customFormat="false" ht="14.25" hidden="false" customHeight="true" outlineLevel="0" collapsed="false">
      <c r="A226" s="68" t="s">
        <v>844</v>
      </c>
      <c r="B226" s="68" t="n">
        <v>1224</v>
      </c>
      <c r="C226" s="68" t="s">
        <v>61</v>
      </c>
      <c r="D226" s="68" t="s">
        <v>62</v>
      </c>
      <c r="E226" s="68" t="n">
        <v>2022</v>
      </c>
      <c r="F226" s="68" t="s">
        <v>798</v>
      </c>
      <c r="G226" s="68" t="s">
        <v>845</v>
      </c>
      <c r="H226" s="68" t="n">
        <v>135.73</v>
      </c>
      <c r="I226" s="68" t="n">
        <v>38.5</v>
      </c>
      <c r="J226" s="68" t="n">
        <v>4.36</v>
      </c>
      <c r="K226" s="68" t="n">
        <v>704</v>
      </c>
    </row>
    <row r="227" customFormat="false" ht="14.25" hidden="false" customHeight="true" outlineLevel="0" collapsed="false">
      <c r="A227" s="68" t="s">
        <v>844</v>
      </c>
      <c r="B227" s="68" t="n">
        <v>1225</v>
      </c>
      <c r="C227" s="68" t="s">
        <v>61</v>
      </c>
      <c r="D227" s="68" t="s">
        <v>62</v>
      </c>
      <c r="E227" s="68" t="n">
        <v>2022</v>
      </c>
      <c r="F227" s="68" t="s">
        <v>801</v>
      </c>
      <c r="G227" s="68" t="s">
        <v>846</v>
      </c>
      <c r="H227" s="68" t="n">
        <v>112.74</v>
      </c>
      <c r="I227" s="68" t="n">
        <v>66.9</v>
      </c>
      <c r="J227" s="68" t="n">
        <v>4.64</v>
      </c>
      <c r="K227" s="68" t="n">
        <v>284</v>
      </c>
    </row>
    <row r="228" customFormat="false" ht="14.25" hidden="false" customHeight="true" outlineLevel="0" collapsed="false">
      <c r="A228" s="68" t="s">
        <v>844</v>
      </c>
      <c r="B228" s="68" t="n">
        <v>1226</v>
      </c>
      <c r="C228" s="68" t="s">
        <v>61</v>
      </c>
      <c r="D228" s="68" t="s">
        <v>62</v>
      </c>
      <c r="E228" s="68" t="n">
        <v>2023</v>
      </c>
      <c r="F228" s="68" t="s">
        <v>797</v>
      </c>
      <c r="G228" s="68" t="s">
        <v>846</v>
      </c>
      <c r="H228" s="68" t="n">
        <v>118.48</v>
      </c>
      <c r="I228" s="68" t="n">
        <v>46</v>
      </c>
      <c r="J228" s="68" t="n">
        <v>4.22</v>
      </c>
      <c r="K228" s="68" t="n">
        <v>286</v>
      </c>
    </row>
    <row r="229" customFormat="false" ht="14.25" hidden="false" customHeight="true" outlineLevel="0" collapsed="false">
      <c r="A229" s="68" t="s">
        <v>844</v>
      </c>
      <c r="B229" s="68" t="n">
        <v>1227</v>
      </c>
      <c r="C229" s="68" t="s">
        <v>61</v>
      </c>
      <c r="D229" s="68" t="s">
        <v>62</v>
      </c>
      <c r="E229" s="68" t="n">
        <v>2023</v>
      </c>
      <c r="F229" s="68" t="s">
        <v>805</v>
      </c>
      <c r="G229" s="68" t="s">
        <v>846</v>
      </c>
      <c r="H229" s="68" t="n">
        <v>130.25</v>
      </c>
      <c r="I229" s="68" t="n">
        <v>47.9</v>
      </c>
      <c r="J229" s="68" t="n">
        <v>4.31</v>
      </c>
      <c r="K229" s="68" t="n">
        <v>508</v>
      </c>
    </row>
    <row r="230" customFormat="false" ht="14.25" hidden="false" customHeight="true" outlineLevel="0" collapsed="false">
      <c r="A230" s="68" t="s">
        <v>844</v>
      </c>
      <c r="B230" s="68" t="n">
        <v>1228</v>
      </c>
      <c r="C230" s="68" t="s">
        <v>61</v>
      </c>
      <c r="D230" s="68" t="s">
        <v>62</v>
      </c>
      <c r="E230" s="68" t="n">
        <v>2023</v>
      </c>
      <c r="F230" s="68" t="s">
        <v>798</v>
      </c>
      <c r="G230" s="68" t="s">
        <v>846</v>
      </c>
      <c r="H230" s="68" t="n">
        <v>118.01</v>
      </c>
      <c r="I230" s="68" t="n">
        <v>69.1</v>
      </c>
      <c r="J230" s="68" t="n">
        <v>4.14</v>
      </c>
      <c r="K230" s="68" t="n">
        <v>455</v>
      </c>
    </row>
    <row r="231" customFormat="false" ht="14.25" hidden="false" customHeight="true" outlineLevel="0" collapsed="false">
      <c r="A231" s="68" t="s">
        <v>844</v>
      </c>
      <c r="B231" s="68" t="n">
        <v>1229</v>
      </c>
      <c r="C231" s="68" t="s">
        <v>61</v>
      </c>
      <c r="D231" s="68" t="s">
        <v>62</v>
      </c>
      <c r="E231" s="68" t="n">
        <v>2023</v>
      </c>
      <c r="F231" s="68" t="s">
        <v>801</v>
      </c>
      <c r="G231" s="68" t="s">
        <v>845</v>
      </c>
      <c r="H231" s="68" t="n">
        <v>145.18</v>
      </c>
      <c r="I231" s="68" t="n">
        <v>65.1</v>
      </c>
      <c r="J231" s="68" t="n">
        <v>4.04</v>
      </c>
      <c r="K231" s="68" t="n">
        <v>201</v>
      </c>
    </row>
    <row r="232" customFormat="false" ht="14.25" hidden="false" customHeight="true" outlineLevel="0" collapsed="false">
      <c r="A232" s="68" t="s">
        <v>844</v>
      </c>
      <c r="B232" s="68" t="n">
        <v>1230</v>
      </c>
      <c r="C232" s="68" t="s">
        <v>61</v>
      </c>
      <c r="D232" s="68" t="s">
        <v>62</v>
      </c>
      <c r="E232" s="68" t="n">
        <v>2023</v>
      </c>
      <c r="F232" s="68" t="s">
        <v>801</v>
      </c>
      <c r="G232" s="68" t="s">
        <v>846</v>
      </c>
      <c r="H232" s="68" t="n">
        <v>138.67</v>
      </c>
      <c r="I232" s="68" t="n">
        <v>35.8</v>
      </c>
      <c r="J232" s="68" t="n">
        <v>4.43</v>
      </c>
      <c r="K232" s="68" t="n">
        <v>260</v>
      </c>
    </row>
    <row r="233" customFormat="false" ht="14.25" hidden="false" customHeight="true" outlineLevel="0" collapsed="false">
      <c r="A233" s="68" t="s">
        <v>844</v>
      </c>
      <c r="B233" s="68" t="n">
        <v>1231</v>
      </c>
      <c r="C233" s="68" t="s">
        <v>61</v>
      </c>
      <c r="D233" s="68" t="s">
        <v>62</v>
      </c>
      <c r="E233" s="68" t="n">
        <v>2024</v>
      </c>
      <c r="F233" s="68" t="s">
        <v>797</v>
      </c>
      <c r="G233" s="68" t="s">
        <v>845</v>
      </c>
      <c r="H233" s="68" t="n">
        <v>137.25</v>
      </c>
      <c r="I233" s="68" t="n">
        <v>55.1</v>
      </c>
      <c r="J233" s="68" t="n">
        <v>3.93</v>
      </c>
      <c r="K233" s="68" t="n">
        <v>48</v>
      </c>
    </row>
    <row r="234" customFormat="false" ht="14.25" hidden="false" customHeight="true" outlineLevel="0" collapsed="false">
      <c r="A234" s="68" t="s">
        <v>844</v>
      </c>
      <c r="B234" s="68" t="n">
        <v>1232</v>
      </c>
      <c r="C234" s="68" t="s">
        <v>61</v>
      </c>
      <c r="D234" s="68" t="s">
        <v>62</v>
      </c>
      <c r="E234" s="68" t="n">
        <v>2024</v>
      </c>
      <c r="F234" s="68" t="s">
        <v>797</v>
      </c>
      <c r="G234" s="68" t="s">
        <v>846</v>
      </c>
      <c r="H234" s="68" t="n">
        <v>131.47</v>
      </c>
      <c r="I234" s="68" t="n">
        <v>50.4</v>
      </c>
      <c r="J234" s="68" t="n">
        <v>3.59</v>
      </c>
      <c r="K234" s="68" t="n">
        <v>52</v>
      </c>
    </row>
    <row r="235" customFormat="false" ht="14.25" hidden="false" customHeight="true" outlineLevel="0" collapsed="false">
      <c r="A235" s="68" t="s">
        <v>844</v>
      </c>
      <c r="B235" s="68" t="n">
        <v>1233</v>
      </c>
      <c r="C235" s="68" t="s">
        <v>61</v>
      </c>
      <c r="D235" s="68" t="s">
        <v>62</v>
      </c>
      <c r="E235" s="68" t="n">
        <v>2024</v>
      </c>
      <c r="F235" s="68" t="s">
        <v>798</v>
      </c>
      <c r="G235" s="68" t="s">
        <v>845</v>
      </c>
      <c r="H235" s="68" t="n">
        <v>126.65</v>
      </c>
      <c r="I235" s="68" t="n">
        <v>30.4</v>
      </c>
      <c r="J235" s="68" t="n">
        <v>4.38</v>
      </c>
      <c r="K235" s="68" t="n">
        <v>171</v>
      </c>
    </row>
    <row r="236" customFormat="false" ht="14.25" hidden="false" customHeight="true" outlineLevel="0" collapsed="false">
      <c r="A236" s="68" t="s">
        <v>844</v>
      </c>
      <c r="B236" s="68" t="n">
        <v>1234</v>
      </c>
      <c r="C236" s="68" t="s">
        <v>61</v>
      </c>
      <c r="D236" s="68" t="s">
        <v>62</v>
      </c>
      <c r="E236" s="68" t="n">
        <v>2024</v>
      </c>
      <c r="F236" s="68" t="s">
        <v>798</v>
      </c>
      <c r="G236" s="68" t="s">
        <v>846</v>
      </c>
      <c r="H236" s="68" t="n">
        <v>117.38</v>
      </c>
      <c r="I236" s="68" t="n">
        <v>60.5</v>
      </c>
      <c r="J236" s="68" t="n">
        <v>4.69</v>
      </c>
      <c r="K236" s="68" t="n">
        <v>814</v>
      </c>
    </row>
    <row r="237" customFormat="false" ht="14.25" hidden="false" customHeight="true" outlineLevel="0" collapsed="false">
      <c r="A237" s="68" t="s">
        <v>844</v>
      </c>
      <c r="B237" s="68" t="n">
        <v>1235</v>
      </c>
      <c r="C237" s="68" t="s">
        <v>61</v>
      </c>
      <c r="D237" s="68" t="s">
        <v>62</v>
      </c>
      <c r="E237" s="68" t="n">
        <v>2024</v>
      </c>
      <c r="F237" s="68" t="s">
        <v>801</v>
      </c>
      <c r="G237" s="68" t="s">
        <v>845</v>
      </c>
      <c r="H237" s="68" t="n">
        <v>142.5</v>
      </c>
      <c r="I237" s="68" t="n">
        <v>67</v>
      </c>
      <c r="J237" s="68" t="n">
        <v>4.32</v>
      </c>
      <c r="K237" s="68" t="n">
        <v>53</v>
      </c>
    </row>
    <row r="238" customFormat="false" ht="14.25" hidden="false" customHeight="true" outlineLevel="0" collapsed="false">
      <c r="A238" s="68" t="s">
        <v>844</v>
      </c>
      <c r="B238" s="68" t="n">
        <v>1236</v>
      </c>
      <c r="C238" s="68" t="s">
        <v>61</v>
      </c>
      <c r="D238" s="68" t="s">
        <v>62</v>
      </c>
      <c r="E238" s="68" t="n">
        <v>2024</v>
      </c>
      <c r="F238" s="68" t="s">
        <v>801</v>
      </c>
      <c r="G238" s="68" t="s">
        <v>846</v>
      </c>
      <c r="H238" s="68" t="n">
        <v>150.31</v>
      </c>
      <c r="I238" s="68" t="n">
        <v>51.3</v>
      </c>
      <c r="J238" s="68" t="n">
        <v>4.22</v>
      </c>
      <c r="K238" s="68" t="n">
        <v>174</v>
      </c>
    </row>
    <row r="239" customFormat="false" ht="14.25" hidden="false" customHeight="true" outlineLevel="0" collapsed="false">
      <c r="A239" s="68" t="s">
        <v>844</v>
      </c>
      <c r="B239" s="68" t="n">
        <v>1237</v>
      </c>
      <c r="C239" s="68" t="s">
        <v>61</v>
      </c>
      <c r="D239" s="68" t="s">
        <v>62</v>
      </c>
      <c r="E239" s="68" t="n">
        <v>2025</v>
      </c>
      <c r="F239" s="68" t="s">
        <v>797</v>
      </c>
      <c r="G239" s="68" t="s">
        <v>845</v>
      </c>
      <c r="H239" s="68" t="n">
        <v>139.03</v>
      </c>
      <c r="I239" s="68" t="n">
        <v>64.5</v>
      </c>
      <c r="J239" s="68" t="n">
        <v>3.94</v>
      </c>
      <c r="K239" s="68" t="n">
        <v>240</v>
      </c>
    </row>
    <row r="240" customFormat="false" ht="14.25" hidden="false" customHeight="true" outlineLevel="0" collapsed="false">
      <c r="A240" s="68" t="s">
        <v>844</v>
      </c>
      <c r="B240" s="68" t="n">
        <v>1238</v>
      </c>
      <c r="C240" s="68" t="s">
        <v>61</v>
      </c>
      <c r="D240" s="68" t="s">
        <v>62</v>
      </c>
      <c r="E240" s="68" t="n">
        <v>2025</v>
      </c>
      <c r="F240" s="68" t="s">
        <v>797</v>
      </c>
      <c r="G240" s="68" t="s">
        <v>846</v>
      </c>
      <c r="H240" s="68" t="n">
        <v>128.41</v>
      </c>
      <c r="I240" s="68" t="n">
        <v>50.2</v>
      </c>
      <c r="J240" s="68" t="n">
        <v>4.13</v>
      </c>
      <c r="K240" s="68" t="n">
        <v>180</v>
      </c>
    </row>
    <row r="241" customFormat="false" ht="14.25" hidden="false" customHeight="true" outlineLevel="0" collapsed="false">
      <c r="A241" s="68" t="s">
        <v>844</v>
      </c>
      <c r="B241" s="68" t="n">
        <v>1239</v>
      </c>
      <c r="C241" s="68" t="s">
        <v>61</v>
      </c>
      <c r="D241" s="68" t="s">
        <v>62</v>
      </c>
      <c r="E241" s="68" t="n">
        <v>2025</v>
      </c>
      <c r="F241" s="68" t="s">
        <v>805</v>
      </c>
      <c r="G241" s="68" t="s">
        <v>845</v>
      </c>
      <c r="H241" s="68" t="n">
        <v>131</v>
      </c>
      <c r="I241" s="68" t="n">
        <v>65.8</v>
      </c>
      <c r="J241" s="68" t="n">
        <v>4.53</v>
      </c>
      <c r="K241" s="68" t="n">
        <v>425</v>
      </c>
    </row>
    <row r="242" customFormat="false" ht="14.25" hidden="false" customHeight="true" outlineLevel="0" collapsed="false">
      <c r="A242" s="68" t="s">
        <v>844</v>
      </c>
      <c r="B242" s="68" t="n">
        <v>1240</v>
      </c>
      <c r="C242" s="68" t="s">
        <v>61</v>
      </c>
      <c r="D242" s="68" t="s">
        <v>62</v>
      </c>
      <c r="E242" s="68" t="n">
        <v>2025</v>
      </c>
      <c r="F242" s="68" t="s">
        <v>798</v>
      </c>
      <c r="G242" s="68" t="s">
        <v>845</v>
      </c>
      <c r="H242" s="68" t="n">
        <v>127.62</v>
      </c>
      <c r="I242" s="68" t="n">
        <v>70.1</v>
      </c>
      <c r="J242" s="68" t="n">
        <v>4.73</v>
      </c>
      <c r="K242" s="68" t="n">
        <v>632</v>
      </c>
    </row>
    <row r="243" customFormat="false" ht="14.25" hidden="false" customHeight="true" outlineLevel="0" collapsed="false">
      <c r="A243" s="68" t="s">
        <v>844</v>
      </c>
      <c r="B243" s="68" t="n">
        <v>1241</v>
      </c>
      <c r="C243" s="68" t="s">
        <v>61</v>
      </c>
      <c r="D243" s="68" t="s">
        <v>62</v>
      </c>
      <c r="E243" s="68" t="n">
        <v>2025</v>
      </c>
      <c r="F243" s="68" t="s">
        <v>798</v>
      </c>
      <c r="G243" s="68" t="s">
        <v>846</v>
      </c>
      <c r="H243" s="68" t="n">
        <v>147.69</v>
      </c>
      <c r="I243" s="68" t="n">
        <v>55.4</v>
      </c>
      <c r="J243" s="68" t="n">
        <v>4.27</v>
      </c>
      <c r="K243" s="68" t="n">
        <v>380</v>
      </c>
    </row>
    <row r="244" customFormat="false" ht="14.25" hidden="false" customHeight="true" outlineLevel="0" collapsed="false">
      <c r="A244" s="68" t="s">
        <v>844</v>
      </c>
      <c r="B244" s="68" t="n">
        <v>1242</v>
      </c>
      <c r="C244" s="68" t="s">
        <v>64</v>
      </c>
      <c r="D244" s="68" t="s">
        <v>65</v>
      </c>
      <c r="E244" s="68" t="n">
        <v>2022</v>
      </c>
      <c r="F244" s="68" t="s">
        <v>797</v>
      </c>
      <c r="G244" s="68" t="s">
        <v>846</v>
      </c>
      <c r="H244" s="68" t="n">
        <v>159.34</v>
      </c>
      <c r="I244" s="68" t="n">
        <v>36</v>
      </c>
      <c r="J244" s="68" t="n">
        <v>4.4</v>
      </c>
      <c r="K244" s="68" t="n">
        <v>625</v>
      </c>
    </row>
    <row r="245" customFormat="false" ht="14.25" hidden="false" customHeight="true" outlineLevel="0" collapsed="false">
      <c r="A245" s="68" t="s">
        <v>844</v>
      </c>
      <c r="B245" s="68" t="n">
        <v>1243</v>
      </c>
      <c r="C245" s="68" t="s">
        <v>64</v>
      </c>
      <c r="D245" s="68" t="s">
        <v>65</v>
      </c>
      <c r="E245" s="68" t="n">
        <v>2022</v>
      </c>
      <c r="F245" s="68" t="s">
        <v>805</v>
      </c>
      <c r="G245" s="68" t="s">
        <v>846</v>
      </c>
      <c r="H245" s="68" t="n">
        <v>126.39</v>
      </c>
      <c r="I245" s="68" t="n">
        <v>17.9</v>
      </c>
      <c r="J245" s="68" t="n">
        <v>4.62</v>
      </c>
      <c r="K245" s="68" t="n">
        <v>334</v>
      </c>
    </row>
    <row r="246" customFormat="false" ht="14.25" hidden="false" customHeight="true" outlineLevel="0" collapsed="false">
      <c r="A246" s="68" t="s">
        <v>844</v>
      </c>
      <c r="B246" s="68" t="n">
        <v>1244</v>
      </c>
      <c r="C246" s="68" t="s">
        <v>64</v>
      </c>
      <c r="D246" s="68" t="s">
        <v>65</v>
      </c>
      <c r="E246" s="68" t="n">
        <v>2022</v>
      </c>
      <c r="F246" s="68" t="s">
        <v>801</v>
      </c>
      <c r="G246" s="68" t="s">
        <v>845</v>
      </c>
      <c r="H246" s="68" t="n">
        <v>139.68</v>
      </c>
      <c r="I246" s="68" t="n">
        <v>46.1</v>
      </c>
      <c r="J246" s="68" t="n">
        <v>3.91</v>
      </c>
      <c r="K246" s="68" t="n">
        <v>651</v>
      </c>
    </row>
    <row r="247" customFormat="false" ht="14.25" hidden="false" customHeight="true" outlineLevel="0" collapsed="false">
      <c r="A247" s="68" t="s">
        <v>844</v>
      </c>
      <c r="B247" s="68" t="n">
        <v>1245</v>
      </c>
      <c r="C247" s="68" t="s">
        <v>64</v>
      </c>
      <c r="D247" s="68" t="s">
        <v>65</v>
      </c>
      <c r="E247" s="68" t="n">
        <v>2022</v>
      </c>
      <c r="F247" s="68" t="s">
        <v>801</v>
      </c>
      <c r="G247" s="68" t="s">
        <v>846</v>
      </c>
      <c r="H247" s="68" t="n">
        <v>162.64</v>
      </c>
      <c r="I247" s="68" t="n">
        <v>51.8</v>
      </c>
      <c r="J247" s="68" t="n">
        <v>4.02</v>
      </c>
      <c r="K247" s="68" t="n">
        <v>358</v>
      </c>
    </row>
    <row r="248" customFormat="false" ht="14.25" hidden="false" customHeight="true" outlineLevel="0" collapsed="false">
      <c r="A248" s="68" t="s">
        <v>844</v>
      </c>
      <c r="B248" s="68" t="n">
        <v>1246</v>
      </c>
      <c r="C248" s="68" t="s">
        <v>64</v>
      </c>
      <c r="D248" s="68" t="s">
        <v>65</v>
      </c>
      <c r="E248" s="68" t="n">
        <v>2023</v>
      </c>
      <c r="F248" s="68" t="s">
        <v>797</v>
      </c>
      <c r="G248" s="68" t="s">
        <v>845</v>
      </c>
      <c r="H248" s="68" t="n">
        <v>160.59</v>
      </c>
      <c r="I248" s="68" t="n">
        <v>62.3</v>
      </c>
      <c r="J248" s="68" t="n">
        <v>4.32</v>
      </c>
      <c r="K248" s="68" t="n">
        <v>170</v>
      </c>
    </row>
    <row r="249" customFormat="false" ht="14.25" hidden="false" customHeight="true" outlineLevel="0" collapsed="false">
      <c r="A249" s="68" t="s">
        <v>844</v>
      </c>
      <c r="B249" s="68" t="n">
        <v>1247</v>
      </c>
      <c r="C249" s="68" t="s">
        <v>64</v>
      </c>
      <c r="D249" s="68" t="s">
        <v>65</v>
      </c>
      <c r="E249" s="68" t="n">
        <v>2023</v>
      </c>
      <c r="F249" s="68" t="s">
        <v>797</v>
      </c>
      <c r="G249" s="68" t="s">
        <v>846</v>
      </c>
      <c r="H249" s="68" t="n">
        <v>143.42</v>
      </c>
      <c r="I249" s="68" t="n">
        <v>82.9</v>
      </c>
      <c r="J249" s="68" t="n">
        <v>4.02</v>
      </c>
      <c r="K249" s="68" t="n">
        <v>706</v>
      </c>
    </row>
    <row r="250" customFormat="false" ht="14.25" hidden="false" customHeight="true" outlineLevel="0" collapsed="false">
      <c r="A250" s="68" t="s">
        <v>844</v>
      </c>
      <c r="B250" s="68" t="n">
        <v>1248</v>
      </c>
      <c r="C250" s="68" t="s">
        <v>64</v>
      </c>
      <c r="D250" s="68" t="s">
        <v>65</v>
      </c>
      <c r="E250" s="68" t="n">
        <v>2023</v>
      </c>
      <c r="F250" s="68" t="s">
        <v>805</v>
      </c>
      <c r="G250" s="68" t="s">
        <v>845</v>
      </c>
      <c r="H250" s="68" t="n">
        <v>147.02</v>
      </c>
      <c r="I250" s="68" t="n">
        <v>53.7</v>
      </c>
      <c r="J250" s="68" t="n">
        <v>3.51</v>
      </c>
      <c r="K250" s="68" t="n">
        <v>39</v>
      </c>
    </row>
    <row r="251" customFormat="false" ht="14.25" hidden="false" customHeight="true" outlineLevel="0" collapsed="false">
      <c r="A251" s="68" t="s">
        <v>844</v>
      </c>
      <c r="B251" s="68" t="n">
        <v>1249</v>
      </c>
      <c r="C251" s="68" t="s">
        <v>64</v>
      </c>
      <c r="D251" s="68" t="s">
        <v>65</v>
      </c>
      <c r="E251" s="68" t="n">
        <v>2023</v>
      </c>
      <c r="F251" s="68" t="s">
        <v>805</v>
      </c>
      <c r="G251" s="68" t="s">
        <v>846</v>
      </c>
      <c r="H251" s="68" t="n">
        <v>154.49</v>
      </c>
      <c r="I251" s="68" t="n">
        <v>61.8</v>
      </c>
      <c r="J251" s="68" t="n">
        <v>4.83</v>
      </c>
      <c r="K251" s="68" t="n">
        <v>183</v>
      </c>
    </row>
    <row r="252" customFormat="false" ht="14.25" hidden="false" customHeight="true" outlineLevel="0" collapsed="false">
      <c r="A252" s="68" t="s">
        <v>844</v>
      </c>
      <c r="B252" s="68" t="n">
        <v>1250</v>
      </c>
      <c r="C252" s="68" t="s">
        <v>64</v>
      </c>
      <c r="D252" s="68" t="s">
        <v>65</v>
      </c>
      <c r="E252" s="68" t="n">
        <v>2023</v>
      </c>
      <c r="F252" s="68" t="s">
        <v>798</v>
      </c>
      <c r="G252" s="68" t="s">
        <v>846</v>
      </c>
      <c r="H252" s="68" t="n">
        <v>153.67</v>
      </c>
      <c r="I252" s="68" t="n">
        <v>62.8</v>
      </c>
      <c r="J252" s="68" t="n">
        <v>3.85</v>
      </c>
      <c r="K252" s="68" t="n">
        <v>160</v>
      </c>
    </row>
    <row r="253" customFormat="false" ht="14.25" hidden="false" customHeight="true" outlineLevel="0" collapsed="false">
      <c r="A253" s="68" t="s">
        <v>844</v>
      </c>
      <c r="B253" s="68" t="n">
        <v>1251</v>
      </c>
      <c r="C253" s="68" t="s">
        <v>64</v>
      </c>
      <c r="D253" s="68" t="s">
        <v>65</v>
      </c>
      <c r="E253" s="68" t="n">
        <v>2023</v>
      </c>
      <c r="F253" s="68" t="s">
        <v>801</v>
      </c>
      <c r="G253" s="68" t="s">
        <v>846</v>
      </c>
      <c r="H253" s="68" t="n">
        <v>148.29</v>
      </c>
      <c r="I253" s="68" t="n">
        <v>53.3</v>
      </c>
      <c r="J253" s="68" t="n">
        <v>4.18</v>
      </c>
      <c r="K253" s="68" t="n">
        <v>706</v>
      </c>
    </row>
    <row r="254" customFormat="false" ht="14.25" hidden="false" customHeight="true" outlineLevel="0" collapsed="false">
      <c r="A254" s="68" t="s">
        <v>844</v>
      </c>
      <c r="B254" s="68" t="n">
        <v>1252</v>
      </c>
      <c r="C254" s="68" t="s">
        <v>64</v>
      </c>
      <c r="D254" s="68" t="s">
        <v>65</v>
      </c>
      <c r="E254" s="68" t="n">
        <v>2024</v>
      </c>
      <c r="F254" s="68" t="s">
        <v>797</v>
      </c>
      <c r="G254" s="68" t="s">
        <v>846</v>
      </c>
      <c r="H254" s="68" t="n">
        <v>151.24</v>
      </c>
      <c r="I254" s="68" t="n">
        <v>64</v>
      </c>
      <c r="J254" s="68" t="n">
        <v>3.95</v>
      </c>
      <c r="K254" s="68" t="n">
        <v>773</v>
      </c>
    </row>
    <row r="255" customFormat="false" ht="14.25" hidden="false" customHeight="true" outlineLevel="0" collapsed="false">
      <c r="A255" s="68" t="s">
        <v>844</v>
      </c>
      <c r="B255" s="68" t="n">
        <v>1253</v>
      </c>
      <c r="C255" s="68" t="s">
        <v>64</v>
      </c>
      <c r="D255" s="68" t="s">
        <v>65</v>
      </c>
      <c r="E255" s="68" t="n">
        <v>2024</v>
      </c>
      <c r="F255" s="68" t="s">
        <v>805</v>
      </c>
      <c r="G255" s="68" t="s">
        <v>845</v>
      </c>
      <c r="H255" s="68" t="n">
        <v>177.57</v>
      </c>
      <c r="I255" s="68" t="n">
        <v>34.1</v>
      </c>
      <c r="J255" s="68" t="n">
        <v>4.29</v>
      </c>
      <c r="K255" s="68" t="n">
        <v>673</v>
      </c>
    </row>
    <row r="256" customFormat="false" ht="14.25" hidden="false" customHeight="true" outlineLevel="0" collapsed="false">
      <c r="A256" s="68" t="s">
        <v>844</v>
      </c>
      <c r="B256" s="68" t="n">
        <v>1254</v>
      </c>
      <c r="C256" s="68" t="s">
        <v>64</v>
      </c>
      <c r="D256" s="68" t="s">
        <v>65</v>
      </c>
      <c r="E256" s="68" t="n">
        <v>2024</v>
      </c>
      <c r="F256" s="68" t="s">
        <v>805</v>
      </c>
      <c r="G256" s="68" t="s">
        <v>846</v>
      </c>
      <c r="H256" s="68" t="n">
        <v>165.85</v>
      </c>
      <c r="I256" s="68" t="n">
        <v>46.1</v>
      </c>
      <c r="J256" s="68" t="n">
        <v>4.4</v>
      </c>
      <c r="K256" s="68" t="n">
        <v>38</v>
      </c>
    </row>
    <row r="257" customFormat="false" ht="14.25" hidden="false" customHeight="true" outlineLevel="0" collapsed="false">
      <c r="A257" s="68" t="s">
        <v>844</v>
      </c>
      <c r="B257" s="68" t="n">
        <v>1255</v>
      </c>
      <c r="C257" s="68" t="s">
        <v>64</v>
      </c>
      <c r="D257" s="68" t="s">
        <v>65</v>
      </c>
      <c r="E257" s="68" t="n">
        <v>2024</v>
      </c>
      <c r="F257" s="68" t="s">
        <v>798</v>
      </c>
      <c r="G257" s="68" t="s">
        <v>846</v>
      </c>
      <c r="H257" s="68" t="n">
        <v>177.58</v>
      </c>
      <c r="I257" s="68" t="n">
        <v>36.6</v>
      </c>
      <c r="J257" s="68" t="n">
        <v>4.12</v>
      </c>
      <c r="K257" s="68" t="n">
        <v>580</v>
      </c>
    </row>
    <row r="258" customFormat="false" ht="14.25" hidden="false" customHeight="true" outlineLevel="0" collapsed="false">
      <c r="A258" s="68" t="s">
        <v>844</v>
      </c>
      <c r="B258" s="68" t="n">
        <v>1256</v>
      </c>
      <c r="C258" s="68" t="s">
        <v>64</v>
      </c>
      <c r="D258" s="68" t="s">
        <v>65</v>
      </c>
      <c r="E258" s="68" t="n">
        <v>2024</v>
      </c>
      <c r="F258" s="68" t="s">
        <v>801</v>
      </c>
      <c r="G258" s="68" t="s">
        <v>845</v>
      </c>
      <c r="H258" s="68" t="n">
        <v>169.87</v>
      </c>
      <c r="I258" s="68" t="n">
        <v>25.4</v>
      </c>
      <c r="J258" s="68" t="n">
        <v>3.28</v>
      </c>
      <c r="K258" s="68" t="n">
        <v>608</v>
      </c>
    </row>
    <row r="259" customFormat="false" ht="14.25" hidden="false" customHeight="true" outlineLevel="0" collapsed="false">
      <c r="A259" s="68" t="s">
        <v>844</v>
      </c>
      <c r="B259" s="68" t="n">
        <v>1257</v>
      </c>
      <c r="C259" s="68" t="s">
        <v>64</v>
      </c>
      <c r="D259" s="68" t="s">
        <v>65</v>
      </c>
      <c r="E259" s="68" t="n">
        <v>2024</v>
      </c>
      <c r="F259" s="68" t="s">
        <v>801</v>
      </c>
      <c r="G259" s="68" t="s">
        <v>846</v>
      </c>
      <c r="H259" s="68" t="n">
        <v>148.67</v>
      </c>
      <c r="I259" s="68" t="n">
        <v>52.2</v>
      </c>
      <c r="J259" s="68" t="n">
        <v>4.58</v>
      </c>
      <c r="K259" s="68" t="n">
        <v>716</v>
      </c>
    </row>
    <row r="260" customFormat="false" ht="14.25" hidden="false" customHeight="true" outlineLevel="0" collapsed="false">
      <c r="A260" s="68" t="s">
        <v>844</v>
      </c>
      <c r="B260" s="68" t="n">
        <v>1258</v>
      </c>
      <c r="C260" s="68" t="s">
        <v>64</v>
      </c>
      <c r="D260" s="68" t="s">
        <v>65</v>
      </c>
      <c r="E260" s="68" t="n">
        <v>2025</v>
      </c>
      <c r="F260" s="68" t="s">
        <v>797</v>
      </c>
      <c r="G260" s="68" t="s">
        <v>845</v>
      </c>
      <c r="H260" s="68" t="n">
        <v>192.25</v>
      </c>
      <c r="I260" s="68" t="n">
        <v>43.8</v>
      </c>
      <c r="J260" s="68" t="n">
        <v>3.61</v>
      </c>
      <c r="K260" s="68" t="n">
        <v>837</v>
      </c>
    </row>
    <row r="261" customFormat="false" ht="14.25" hidden="false" customHeight="true" outlineLevel="0" collapsed="false">
      <c r="A261" s="68" t="s">
        <v>844</v>
      </c>
      <c r="B261" s="68" t="n">
        <v>1259</v>
      </c>
      <c r="C261" s="68" t="s">
        <v>64</v>
      </c>
      <c r="D261" s="68" t="s">
        <v>65</v>
      </c>
      <c r="E261" s="68" t="n">
        <v>2025</v>
      </c>
      <c r="F261" s="68" t="s">
        <v>805</v>
      </c>
      <c r="G261" s="68" t="s">
        <v>845</v>
      </c>
      <c r="H261" s="68" t="n">
        <v>186.12</v>
      </c>
      <c r="I261" s="68" t="n">
        <v>45.9</v>
      </c>
      <c r="J261" s="68" t="n">
        <v>3.7</v>
      </c>
      <c r="K261" s="68" t="n">
        <v>447</v>
      </c>
    </row>
    <row r="262" customFormat="false" ht="14.25" hidden="false" customHeight="true" outlineLevel="0" collapsed="false">
      <c r="A262" s="68" t="s">
        <v>844</v>
      </c>
      <c r="B262" s="68" t="n">
        <v>1260</v>
      </c>
      <c r="C262" s="68" t="s">
        <v>64</v>
      </c>
      <c r="D262" s="68" t="s">
        <v>65</v>
      </c>
      <c r="E262" s="68" t="n">
        <v>2025</v>
      </c>
      <c r="F262" s="68" t="s">
        <v>805</v>
      </c>
      <c r="G262" s="68" t="s">
        <v>846</v>
      </c>
      <c r="H262" s="68" t="n">
        <v>157.11</v>
      </c>
      <c r="I262" s="68" t="n">
        <v>48.4</v>
      </c>
      <c r="J262" s="68" t="n">
        <v>4.14</v>
      </c>
      <c r="K262" s="68" t="n">
        <v>848</v>
      </c>
    </row>
    <row r="263" customFormat="false" ht="14.25" hidden="false" customHeight="true" outlineLevel="0" collapsed="false">
      <c r="A263" s="68" t="s">
        <v>844</v>
      </c>
      <c r="B263" s="68" t="n">
        <v>1261</v>
      </c>
      <c r="C263" s="68" t="s">
        <v>67</v>
      </c>
      <c r="D263" s="68" t="s">
        <v>68</v>
      </c>
      <c r="E263" s="68" t="n">
        <v>2022</v>
      </c>
      <c r="F263" s="68" t="s">
        <v>797</v>
      </c>
      <c r="G263" s="68" t="s">
        <v>845</v>
      </c>
      <c r="H263" s="68" t="n">
        <v>172.5</v>
      </c>
      <c r="I263" s="68" t="n">
        <v>61.4</v>
      </c>
      <c r="J263" s="68" t="n">
        <v>4.07</v>
      </c>
      <c r="K263" s="68" t="n">
        <v>897</v>
      </c>
    </row>
    <row r="264" customFormat="false" ht="14.25" hidden="false" customHeight="true" outlineLevel="0" collapsed="false">
      <c r="A264" s="68" t="s">
        <v>844</v>
      </c>
      <c r="B264" s="68" t="n">
        <v>1262</v>
      </c>
      <c r="C264" s="68" t="s">
        <v>67</v>
      </c>
      <c r="D264" s="68" t="s">
        <v>68</v>
      </c>
      <c r="E264" s="68" t="n">
        <v>2022</v>
      </c>
      <c r="F264" s="68" t="s">
        <v>797</v>
      </c>
      <c r="G264" s="68" t="s">
        <v>846</v>
      </c>
      <c r="H264" s="68" t="n">
        <v>175.38</v>
      </c>
      <c r="I264" s="68" t="n">
        <v>67.8</v>
      </c>
      <c r="J264" s="68" t="n">
        <v>4.01</v>
      </c>
      <c r="K264" s="68" t="n">
        <v>728</v>
      </c>
    </row>
    <row r="265" customFormat="false" ht="14.25" hidden="false" customHeight="true" outlineLevel="0" collapsed="false">
      <c r="A265" s="68" t="s">
        <v>844</v>
      </c>
      <c r="B265" s="68" t="n">
        <v>1263</v>
      </c>
      <c r="C265" s="68" t="s">
        <v>67</v>
      </c>
      <c r="D265" s="68" t="s">
        <v>68</v>
      </c>
      <c r="E265" s="68" t="n">
        <v>2022</v>
      </c>
      <c r="F265" s="68" t="s">
        <v>805</v>
      </c>
      <c r="G265" s="68" t="s">
        <v>845</v>
      </c>
      <c r="H265" s="68" t="n">
        <v>159.67</v>
      </c>
      <c r="I265" s="68" t="n">
        <v>65.2</v>
      </c>
      <c r="J265" s="68" t="n">
        <v>3.56</v>
      </c>
      <c r="K265" s="68" t="n">
        <v>795</v>
      </c>
    </row>
    <row r="266" customFormat="false" ht="14.25" hidden="false" customHeight="true" outlineLevel="0" collapsed="false">
      <c r="A266" s="68" t="s">
        <v>844</v>
      </c>
      <c r="B266" s="68" t="n">
        <v>1264</v>
      </c>
      <c r="C266" s="68" t="s">
        <v>67</v>
      </c>
      <c r="D266" s="68" t="s">
        <v>68</v>
      </c>
      <c r="E266" s="68" t="n">
        <v>2022</v>
      </c>
      <c r="F266" s="68" t="s">
        <v>805</v>
      </c>
      <c r="G266" s="68" t="s">
        <v>846</v>
      </c>
      <c r="H266" s="68" t="n">
        <v>154.24</v>
      </c>
      <c r="I266" s="68" t="n">
        <v>68.7</v>
      </c>
      <c r="J266" s="68" t="n">
        <v>4.27</v>
      </c>
      <c r="K266" s="68" t="n">
        <v>751</v>
      </c>
    </row>
    <row r="267" customFormat="false" ht="14.25" hidden="false" customHeight="true" outlineLevel="0" collapsed="false">
      <c r="A267" s="68" t="s">
        <v>844</v>
      </c>
      <c r="B267" s="68" t="n">
        <v>1265</v>
      </c>
      <c r="C267" s="68" t="s">
        <v>67</v>
      </c>
      <c r="D267" s="68" t="s">
        <v>68</v>
      </c>
      <c r="E267" s="68" t="n">
        <v>2022</v>
      </c>
      <c r="F267" s="68" t="s">
        <v>798</v>
      </c>
      <c r="G267" s="68" t="s">
        <v>845</v>
      </c>
      <c r="H267" s="68" t="n">
        <v>164.37</v>
      </c>
      <c r="I267" s="68" t="n">
        <v>45.1</v>
      </c>
      <c r="J267" s="68" t="n">
        <v>4.34</v>
      </c>
      <c r="K267" s="68" t="n">
        <v>458</v>
      </c>
    </row>
    <row r="268" customFormat="false" ht="14.25" hidden="false" customHeight="true" outlineLevel="0" collapsed="false">
      <c r="A268" s="68" t="s">
        <v>844</v>
      </c>
      <c r="B268" s="68" t="n">
        <v>1266</v>
      </c>
      <c r="C268" s="68" t="s">
        <v>67</v>
      </c>
      <c r="D268" s="68" t="s">
        <v>68</v>
      </c>
      <c r="E268" s="68" t="n">
        <v>2022</v>
      </c>
      <c r="F268" s="68" t="s">
        <v>801</v>
      </c>
      <c r="G268" s="68" t="s">
        <v>846</v>
      </c>
      <c r="H268" s="68" t="n">
        <v>171.67</v>
      </c>
      <c r="I268" s="68" t="n">
        <v>25</v>
      </c>
      <c r="J268" s="68" t="n">
        <v>3.91</v>
      </c>
      <c r="K268" s="68" t="n">
        <v>307</v>
      </c>
    </row>
    <row r="269" customFormat="false" ht="14.25" hidden="false" customHeight="true" outlineLevel="0" collapsed="false">
      <c r="A269" s="68" t="s">
        <v>844</v>
      </c>
      <c r="B269" s="68" t="n">
        <v>1267</v>
      </c>
      <c r="C269" s="68" t="s">
        <v>67</v>
      </c>
      <c r="D269" s="68" t="s">
        <v>68</v>
      </c>
      <c r="E269" s="68" t="n">
        <v>2023</v>
      </c>
      <c r="F269" s="68" t="s">
        <v>797</v>
      </c>
      <c r="G269" s="68" t="s">
        <v>845</v>
      </c>
      <c r="H269" s="68" t="n">
        <v>222.79</v>
      </c>
      <c r="I269" s="68" t="n">
        <v>38.4</v>
      </c>
      <c r="J269" s="68" t="n">
        <v>4.46</v>
      </c>
      <c r="K269" s="68" t="n">
        <v>207</v>
      </c>
    </row>
    <row r="270" customFormat="false" ht="14.25" hidden="false" customHeight="true" outlineLevel="0" collapsed="false">
      <c r="A270" s="68" t="s">
        <v>844</v>
      </c>
      <c r="B270" s="68" t="n">
        <v>1268</v>
      </c>
      <c r="C270" s="68" t="s">
        <v>67</v>
      </c>
      <c r="D270" s="68" t="s">
        <v>68</v>
      </c>
      <c r="E270" s="68" t="n">
        <v>2023</v>
      </c>
      <c r="F270" s="68" t="s">
        <v>797</v>
      </c>
      <c r="G270" s="68" t="s">
        <v>846</v>
      </c>
      <c r="H270" s="68" t="n">
        <v>255.74</v>
      </c>
      <c r="I270" s="68" t="n">
        <v>53</v>
      </c>
      <c r="J270" s="68" t="n">
        <v>4.07</v>
      </c>
      <c r="K270" s="68" t="n">
        <v>80</v>
      </c>
    </row>
    <row r="271" customFormat="false" ht="14.25" hidden="false" customHeight="true" outlineLevel="0" collapsed="false">
      <c r="A271" s="68" t="s">
        <v>844</v>
      </c>
      <c r="B271" s="68" t="n">
        <v>1269</v>
      </c>
      <c r="C271" s="68" t="s">
        <v>67</v>
      </c>
      <c r="D271" s="68" t="s">
        <v>68</v>
      </c>
      <c r="E271" s="68" t="n">
        <v>2023</v>
      </c>
      <c r="F271" s="68" t="s">
        <v>798</v>
      </c>
      <c r="G271" s="68" t="s">
        <v>845</v>
      </c>
      <c r="H271" s="68" t="n">
        <v>200.79</v>
      </c>
      <c r="I271" s="68" t="n">
        <v>60</v>
      </c>
      <c r="J271" s="68" t="n">
        <v>4.4</v>
      </c>
      <c r="K271" s="68" t="n">
        <v>138</v>
      </c>
    </row>
    <row r="272" customFormat="false" ht="14.25" hidden="false" customHeight="true" outlineLevel="0" collapsed="false">
      <c r="A272" s="68" t="s">
        <v>844</v>
      </c>
      <c r="B272" s="68" t="n">
        <v>1270</v>
      </c>
      <c r="C272" s="68" t="s">
        <v>67</v>
      </c>
      <c r="D272" s="68" t="s">
        <v>68</v>
      </c>
      <c r="E272" s="68" t="n">
        <v>2023</v>
      </c>
      <c r="F272" s="68" t="s">
        <v>801</v>
      </c>
      <c r="G272" s="68" t="s">
        <v>845</v>
      </c>
      <c r="H272" s="68" t="n">
        <v>201.42</v>
      </c>
      <c r="I272" s="68" t="n">
        <v>57.7</v>
      </c>
      <c r="J272" s="68" t="n">
        <v>4.32</v>
      </c>
      <c r="K272" s="68" t="n">
        <v>117</v>
      </c>
    </row>
    <row r="273" customFormat="false" ht="14.25" hidden="false" customHeight="true" outlineLevel="0" collapsed="false">
      <c r="A273" s="68" t="s">
        <v>844</v>
      </c>
      <c r="B273" s="68" t="n">
        <v>1271</v>
      </c>
      <c r="C273" s="68" t="s">
        <v>67</v>
      </c>
      <c r="D273" s="68" t="s">
        <v>68</v>
      </c>
      <c r="E273" s="68" t="n">
        <v>2023</v>
      </c>
      <c r="F273" s="68" t="s">
        <v>801</v>
      </c>
      <c r="G273" s="68" t="s">
        <v>846</v>
      </c>
      <c r="H273" s="68" t="n">
        <v>208.9</v>
      </c>
      <c r="I273" s="68" t="n">
        <v>39.6</v>
      </c>
      <c r="J273" s="68" t="n">
        <v>4.83</v>
      </c>
      <c r="K273" s="68" t="n">
        <v>231</v>
      </c>
    </row>
    <row r="274" customFormat="false" ht="14.25" hidden="false" customHeight="true" outlineLevel="0" collapsed="false">
      <c r="A274" s="68" t="s">
        <v>844</v>
      </c>
      <c r="B274" s="68" t="n">
        <v>1272</v>
      </c>
      <c r="C274" s="68" t="s">
        <v>67</v>
      </c>
      <c r="D274" s="68" t="s">
        <v>68</v>
      </c>
      <c r="E274" s="68" t="n">
        <v>2024</v>
      </c>
      <c r="F274" s="68" t="s">
        <v>797</v>
      </c>
      <c r="G274" s="68" t="s">
        <v>845</v>
      </c>
      <c r="H274" s="68" t="n">
        <v>195.8</v>
      </c>
      <c r="I274" s="68" t="n">
        <v>52.3</v>
      </c>
      <c r="J274" s="68" t="n">
        <v>4.33</v>
      </c>
      <c r="K274" s="68" t="n">
        <v>276</v>
      </c>
    </row>
    <row r="275" customFormat="false" ht="14.25" hidden="false" customHeight="true" outlineLevel="0" collapsed="false">
      <c r="A275" s="68" t="s">
        <v>844</v>
      </c>
      <c r="B275" s="68" t="n">
        <v>1273</v>
      </c>
      <c r="C275" s="68" t="s">
        <v>67</v>
      </c>
      <c r="D275" s="68" t="s">
        <v>68</v>
      </c>
      <c r="E275" s="68" t="n">
        <v>2024</v>
      </c>
      <c r="F275" s="68" t="s">
        <v>797</v>
      </c>
      <c r="G275" s="68" t="s">
        <v>846</v>
      </c>
      <c r="H275" s="68" t="n">
        <v>185.25</v>
      </c>
      <c r="I275" s="68" t="n">
        <v>65.6</v>
      </c>
      <c r="J275" s="68" t="n">
        <v>3.98</v>
      </c>
      <c r="K275" s="68" t="n">
        <v>798</v>
      </c>
    </row>
    <row r="276" customFormat="false" ht="14.25" hidden="false" customHeight="true" outlineLevel="0" collapsed="false">
      <c r="A276" s="68" t="s">
        <v>844</v>
      </c>
      <c r="B276" s="68" t="n">
        <v>1274</v>
      </c>
      <c r="C276" s="68" t="s">
        <v>67</v>
      </c>
      <c r="D276" s="68" t="s">
        <v>68</v>
      </c>
      <c r="E276" s="68" t="n">
        <v>2024</v>
      </c>
      <c r="F276" s="68" t="s">
        <v>805</v>
      </c>
      <c r="G276" s="68" t="s">
        <v>846</v>
      </c>
      <c r="H276" s="68" t="n">
        <v>218.75</v>
      </c>
      <c r="I276" s="68" t="n">
        <v>67.8</v>
      </c>
      <c r="J276" s="68" t="n">
        <v>3.67</v>
      </c>
      <c r="K276" s="68" t="n">
        <v>589</v>
      </c>
    </row>
    <row r="277" customFormat="false" ht="14.25" hidden="false" customHeight="true" outlineLevel="0" collapsed="false">
      <c r="A277" s="68" t="s">
        <v>844</v>
      </c>
      <c r="B277" s="68" t="n">
        <v>1275</v>
      </c>
      <c r="C277" s="68" t="s">
        <v>67</v>
      </c>
      <c r="D277" s="68" t="s">
        <v>68</v>
      </c>
      <c r="E277" s="68" t="n">
        <v>2024</v>
      </c>
      <c r="F277" s="68" t="s">
        <v>798</v>
      </c>
      <c r="G277" s="68" t="s">
        <v>845</v>
      </c>
      <c r="H277" s="68" t="n">
        <v>213.84</v>
      </c>
      <c r="I277" s="68" t="n">
        <v>50</v>
      </c>
      <c r="J277" s="68" t="n">
        <v>4.53</v>
      </c>
      <c r="K277" s="68" t="n">
        <v>632</v>
      </c>
    </row>
    <row r="278" customFormat="false" ht="14.25" hidden="false" customHeight="true" outlineLevel="0" collapsed="false">
      <c r="A278" s="68" t="s">
        <v>844</v>
      </c>
      <c r="B278" s="68" t="n">
        <v>1276</v>
      </c>
      <c r="C278" s="68" t="s">
        <v>67</v>
      </c>
      <c r="D278" s="68" t="s">
        <v>68</v>
      </c>
      <c r="E278" s="68" t="n">
        <v>2024</v>
      </c>
      <c r="F278" s="68" t="s">
        <v>798</v>
      </c>
      <c r="G278" s="68" t="s">
        <v>846</v>
      </c>
      <c r="H278" s="68" t="n">
        <v>199.67</v>
      </c>
      <c r="I278" s="68" t="n">
        <v>53.4</v>
      </c>
      <c r="J278" s="68" t="n">
        <v>4.39</v>
      </c>
      <c r="K278" s="68" t="n">
        <v>237</v>
      </c>
    </row>
    <row r="279" customFormat="false" ht="14.25" hidden="false" customHeight="true" outlineLevel="0" collapsed="false">
      <c r="A279" s="68" t="s">
        <v>844</v>
      </c>
      <c r="B279" s="68" t="n">
        <v>1277</v>
      </c>
      <c r="C279" s="68" t="s">
        <v>67</v>
      </c>
      <c r="D279" s="68" t="s">
        <v>68</v>
      </c>
      <c r="E279" s="68" t="n">
        <v>2024</v>
      </c>
      <c r="F279" s="68" t="s">
        <v>801</v>
      </c>
      <c r="G279" s="68" t="s">
        <v>845</v>
      </c>
      <c r="H279" s="68" t="n">
        <v>179.94</v>
      </c>
      <c r="I279" s="68" t="n">
        <v>95.8</v>
      </c>
      <c r="J279" s="68" t="n">
        <v>4.24</v>
      </c>
      <c r="K279" s="68" t="n">
        <v>723</v>
      </c>
    </row>
    <row r="280" customFormat="false" ht="14.25" hidden="false" customHeight="true" outlineLevel="0" collapsed="false">
      <c r="A280" s="68" t="s">
        <v>844</v>
      </c>
      <c r="B280" s="68" t="n">
        <v>1278</v>
      </c>
      <c r="C280" s="68" t="s">
        <v>67</v>
      </c>
      <c r="D280" s="68" t="s">
        <v>68</v>
      </c>
      <c r="E280" s="68" t="n">
        <v>2025</v>
      </c>
      <c r="F280" s="68" t="s">
        <v>805</v>
      </c>
      <c r="G280" s="68" t="s">
        <v>845</v>
      </c>
      <c r="H280" s="68" t="n">
        <v>245.75</v>
      </c>
      <c r="I280" s="68" t="n">
        <v>50.9</v>
      </c>
      <c r="J280" s="68" t="n">
        <v>4.06</v>
      </c>
      <c r="K280" s="68" t="n">
        <v>162</v>
      </c>
    </row>
    <row r="281" customFormat="false" ht="14.25" hidden="false" customHeight="true" outlineLevel="0" collapsed="false">
      <c r="A281" s="68" t="s">
        <v>844</v>
      </c>
      <c r="B281" s="68" t="n">
        <v>1279</v>
      </c>
      <c r="C281" s="68" t="s">
        <v>67</v>
      </c>
      <c r="D281" s="68" t="s">
        <v>68</v>
      </c>
      <c r="E281" s="68" t="n">
        <v>2025</v>
      </c>
      <c r="F281" s="68" t="s">
        <v>805</v>
      </c>
      <c r="G281" s="68" t="s">
        <v>846</v>
      </c>
      <c r="H281" s="68" t="n">
        <v>208.71</v>
      </c>
      <c r="I281" s="68" t="n">
        <v>52.4</v>
      </c>
      <c r="J281" s="68" t="n">
        <v>4.03</v>
      </c>
      <c r="K281" s="68" t="n">
        <v>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11" min="3" style="1" width="14"/>
    <col collapsed="false" customWidth="true" hidden="false" outlineLevel="0" max="26" min="12" style="1" width="16"/>
  </cols>
  <sheetData>
    <row r="1" customFormat="false" ht="33.75" hidden="false" customHeight="true" outlineLevel="0" collapsed="false">
      <c r="A1" s="5" t="s">
        <v>838</v>
      </c>
      <c r="B1" s="5" t="s">
        <v>839</v>
      </c>
      <c r="C1" s="5" t="s">
        <v>575</v>
      </c>
      <c r="D1" s="5" t="s">
        <v>576</v>
      </c>
      <c r="E1" s="5" t="s">
        <v>791</v>
      </c>
      <c r="F1" s="5" t="s">
        <v>792</v>
      </c>
      <c r="G1" s="5" t="s">
        <v>847</v>
      </c>
      <c r="H1" s="5" t="s">
        <v>848</v>
      </c>
      <c r="I1" s="5" t="s">
        <v>849</v>
      </c>
      <c r="J1" s="5" t="s">
        <v>850</v>
      </c>
      <c r="K1" s="5" t="s">
        <v>851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852</v>
      </c>
      <c r="B2" s="68" t="n">
        <v>1280</v>
      </c>
      <c r="C2" s="68" t="s">
        <v>16</v>
      </c>
      <c r="D2" s="68" t="s">
        <v>17</v>
      </c>
      <c r="E2" s="68" t="n">
        <v>2020</v>
      </c>
      <c r="F2" s="68" t="s">
        <v>797</v>
      </c>
      <c r="G2" s="68" t="s">
        <v>853</v>
      </c>
      <c r="H2" s="68" t="n">
        <v>0.56</v>
      </c>
      <c r="I2" s="68" t="n">
        <v>4027</v>
      </c>
      <c r="J2" s="68" t="s">
        <v>854</v>
      </c>
      <c r="K2" s="68"/>
    </row>
    <row r="3" customFormat="false" ht="14.25" hidden="false" customHeight="true" outlineLevel="0" collapsed="false">
      <c r="A3" s="68" t="s">
        <v>852</v>
      </c>
      <c r="B3" s="68" t="n">
        <v>1281</v>
      </c>
      <c r="C3" s="68" t="s">
        <v>16</v>
      </c>
      <c r="D3" s="68" t="s">
        <v>17</v>
      </c>
      <c r="E3" s="68" t="n">
        <v>2020</v>
      </c>
      <c r="F3" s="68" t="s">
        <v>805</v>
      </c>
      <c r="G3" s="68" t="s">
        <v>61</v>
      </c>
      <c r="H3" s="68" t="n">
        <v>0.12</v>
      </c>
      <c r="I3" s="68" t="n">
        <v>2413</v>
      </c>
      <c r="J3" s="68" t="s">
        <v>855</v>
      </c>
      <c r="K3" s="68"/>
    </row>
    <row r="4" customFormat="false" ht="14.25" hidden="false" customHeight="true" outlineLevel="0" collapsed="false">
      <c r="A4" s="68" t="s">
        <v>852</v>
      </c>
      <c r="B4" s="68" t="n">
        <v>1282</v>
      </c>
      <c r="C4" s="68" t="s">
        <v>16</v>
      </c>
      <c r="D4" s="68" t="s">
        <v>17</v>
      </c>
      <c r="E4" s="68" t="n">
        <v>2020</v>
      </c>
      <c r="F4" s="68" t="s">
        <v>798</v>
      </c>
      <c r="G4" s="68" t="s">
        <v>61</v>
      </c>
      <c r="H4" s="68" t="n">
        <v>0.47</v>
      </c>
      <c r="I4" s="68" t="n">
        <v>4362</v>
      </c>
      <c r="J4" s="68" t="s">
        <v>856</v>
      </c>
      <c r="K4" s="68"/>
    </row>
    <row r="5" customFormat="false" ht="14.25" hidden="false" customHeight="true" outlineLevel="0" collapsed="false">
      <c r="A5" s="68" t="s">
        <v>852</v>
      </c>
      <c r="B5" s="68" t="n">
        <v>1283</v>
      </c>
      <c r="C5" s="68" t="s">
        <v>16</v>
      </c>
      <c r="D5" s="68" t="s">
        <v>17</v>
      </c>
      <c r="E5" s="68" t="n">
        <v>2020</v>
      </c>
      <c r="F5" s="68" t="s">
        <v>801</v>
      </c>
      <c r="G5" s="68" t="s">
        <v>853</v>
      </c>
      <c r="H5" s="68" t="n">
        <v>0.01</v>
      </c>
      <c r="I5" s="68" t="n">
        <v>2023</v>
      </c>
      <c r="J5" s="68" t="s">
        <v>857</v>
      </c>
      <c r="K5" s="68"/>
    </row>
    <row r="6" customFormat="false" ht="14.25" hidden="false" customHeight="true" outlineLevel="0" collapsed="false">
      <c r="A6" s="68" t="s">
        <v>852</v>
      </c>
      <c r="B6" s="68" t="n">
        <v>1284</v>
      </c>
      <c r="C6" s="68" t="s">
        <v>16</v>
      </c>
      <c r="D6" s="68" t="s">
        <v>17</v>
      </c>
      <c r="E6" s="68" t="n">
        <v>2021</v>
      </c>
      <c r="F6" s="68" t="s">
        <v>805</v>
      </c>
      <c r="G6" s="68" t="s">
        <v>853</v>
      </c>
      <c r="H6" s="68" t="n">
        <v>0.03</v>
      </c>
      <c r="I6" s="68" t="n">
        <v>4351</v>
      </c>
      <c r="J6" s="68" t="s">
        <v>858</v>
      </c>
      <c r="K6" s="68"/>
    </row>
    <row r="7" customFormat="false" ht="14.25" hidden="false" customHeight="true" outlineLevel="0" collapsed="false">
      <c r="A7" s="68" t="s">
        <v>852</v>
      </c>
      <c r="B7" s="68" t="n">
        <v>1285</v>
      </c>
      <c r="C7" s="68" t="s">
        <v>16</v>
      </c>
      <c r="D7" s="68" t="s">
        <v>17</v>
      </c>
      <c r="E7" s="68" t="n">
        <v>2021</v>
      </c>
      <c r="F7" s="68" t="s">
        <v>801</v>
      </c>
      <c r="G7" s="68" t="s">
        <v>61</v>
      </c>
      <c r="H7" s="68" t="n">
        <v>-0.07</v>
      </c>
      <c r="I7" s="68" t="n">
        <v>814</v>
      </c>
      <c r="J7" s="68" t="s">
        <v>859</v>
      </c>
      <c r="K7" s="68"/>
    </row>
    <row r="8" customFormat="false" ht="14.25" hidden="false" customHeight="true" outlineLevel="0" collapsed="false">
      <c r="A8" s="68" t="s">
        <v>852</v>
      </c>
      <c r="B8" s="68" t="n">
        <v>1286</v>
      </c>
      <c r="C8" s="68" t="s">
        <v>16</v>
      </c>
      <c r="D8" s="68" t="s">
        <v>17</v>
      </c>
      <c r="E8" s="68" t="n">
        <v>2022</v>
      </c>
      <c r="F8" s="68" t="s">
        <v>797</v>
      </c>
      <c r="G8" s="68" t="s">
        <v>61</v>
      </c>
      <c r="H8" s="68" t="n">
        <v>0.01</v>
      </c>
      <c r="I8" s="68" t="n">
        <v>4245</v>
      </c>
      <c r="J8" s="68" t="s">
        <v>860</v>
      </c>
      <c r="K8" s="68" t="s">
        <v>861</v>
      </c>
    </row>
    <row r="9" customFormat="false" ht="14.25" hidden="false" customHeight="true" outlineLevel="0" collapsed="false">
      <c r="A9" s="68" t="s">
        <v>852</v>
      </c>
      <c r="B9" s="68" t="n">
        <v>1287</v>
      </c>
      <c r="C9" s="68" t="s">
        <v>16</v>
      </c>
      <c r="D9" s="68" t="s">
        <v>17</v>
      </c>
      <c r="E9" s="68" t="n">
        <v>2022</v>
      </c>
      <c r="F9" s="68" t="s">
        <v>805</v>
      </c>
      <c r="G9" s="68" t="s">
        <v>61</v>
      </c>
      <c r="H9" s="68" t="n">
        <v>0.29</v>
      </c>
      <c r="I9" s="68" t="n">
        <v>3009</v>
      </c>
      <c r="J9" s="68" t="s">
        <v>862</v>
      </c>
      <c r="K9" s="68"/>
    </row>
    <row r="10" customFormat="false" ht="14.25" hidden="false" customHeight="true" outlineLevel="0" collapsed="false">
      <c r="A10" s="68" t="s">
        <v>852</v>
      </c>
      <c r="B10" s="68" t="n">
        <v>1288</v>
      </c>
      <c r="C10" s="68" t="s">
        <v>16</v>
      </c>
      <c r="D10" s="68" t="s">
        <v>17</v>
      </c>
      <c r="E10" s="68" t="n">
        <v>2023</v>
      </c>
      <c r="F10" s="68" t="s">
        <v>797</v>
      </c>
      <c r="G10" s="68" t="s">
        <v>863</v>
      </c>
      <c r="H10" s="68" t="n">
        <v>0.2</v>
      </c>
      <c r="I10" s="68" t="n">
        <v>4843</v>
      </c>
      <c r="J10" s="68" t="s">
        <v>864</v>
      </c>
      <c r="K10" s="68"/>
    </row>
    <row r="11" customFormat="false" ht="14.25" hidden="false" customHeight="true" outlineLevel="0" collapsed="false">
      <c r="A11" s="68" t="s">
        <v>852</v>
      </c>
      <c r="B11" s="68" t="n">
        <v>1289</v>
      </c>
      <c r="C11" s="68" t="s">
        <v>16</v>
      </c>
      <c r="D11" s="68" t="s">
        <v>17</v>
      </c>
      <c r="E11" s="68" t="n">
        <v>2023</v>
      </c>
      <c r="F11" s="68" t="s">
        <v>805</v>
      </c>
      <c r="G11" s="68" t="s">
        <v>61</v>
      </c>
      <c r="H11" s="68" t="n">
        <v>0.54</v>
      </c>
      <c r="I11" s="68" t="n">
        <v>1001</v>
      </c>
      <c r="J11" s="68" t="s">
        <v>865</v>
      </c>
      <c r="K11" s="68" t="s">
        <v>866</v>
      </c>
    </row>
    <row r="12" customFormat="false" ht="14.25" hidden="false" customHeight="true" outlineLevel="0" collapsed="false">
      <c r="A12" s="68" t="s">
        <v>852</v>
      </c>
      <c r="B12" s="68" t="n">
        <v>1290</v>
      </c>
      <c r="C12" s="68" t="s">
        <v>16</v>
      </c>
      <c r="D12" s="68" t="s">
        <v>17</v>
      </c>
      <c r="E12" s="68" t="n">
        <v>2023</v>
      </c>
      <c r="F12" s="68" t="s">
        <v>798</v>
      </c>
      <c r="G12" s="68" t="s">
        <v>61</v>
      </c>
      <c r="H12" s="68" t="n">
        <v>0.56</v>
      </c>
      <c r="I12" s="68" t="n">
        <v>332</v>
      </c>
      <c r="J12" s="68" t="s">
        <v>867</v>
      </c>
      <c r="K12" s="68"/>
    </row>
    <row r="13" customFormat="false" ht="14.25" hidden="false" customHeight="true" outlineLevel="0" collapsed="false">
      <c r="A13" s="68" t="s">
        <v>852</v>
      </c>
      <c r="B13" s="68" t="n">
        <v>1291</v>
      </c>
      <c r="C13" s="68" t="s">
        <v>16</v>
      </c>
      <c r="D13" s="68" t="s">
        <v>17</v>
      </c>
      <c r="E13" s="68" t="n">
        <v>2023</v>
      </c>
      <c r="F13" s="68" t="s">
        <v>801</v>
      </c>
      <c r="G13" s="68" t="s">
        <v>61</v>
      </c>
      <c r="H13" s="68" t="n">
        <v>0.63</v>
      </c>
      <c r="I13" s="68" t="n">
        <v>4127</v>
      </c>
      <c r="J13" s="68" t="s">
        <v>868</v>
      </c>
      <c r="K13" s="68" t="s">
        <v>869</v>
      </c>
    </row>
    <row r="14" customFormat="false" ht="14.25" hidden="false" customHeight="true" outlineLevel="0" collapsed="false">
      <c r="A14" s="68" t="s">
        <v>852</v>
      </c>
      <c r="B14" s="68" t="n">
        <v>1292</v>
      </c>
      <c r="C14" s="68" t="s">
        <v>16</v>
      </c>
      <c r="D14" s="68" t="s">
        <v>17</v>
      </c>
      <c r="E14" s="68" t="n">
        <v>2024</v>
      </c>
      <c r="F14" s="68" t="s">
        <v>797</v>
      </c>
      <c r="G14" s="68" t="s">
        <v>853</v>
      </c>
      <c r="H14" s="68" t="n">
        <v>0.19</v>
      </c>
      <c r="I14" s="68" t="n">
        <v>4925</v>
      </c>
      <c r="J14" s="68" t="s">
        <v>870</v>
      </c>
      <c r="K14" s="68"/>
    </row>
    <row r="15" customFormat="false" ht="14.25" hidden="false" customHeight="true" outlineLevel="0" collapsed="false">
      <c r="A15" s="68" t="s">
        <v>852</v>
      </c>
      <c r="B15" s="68" t="n">
        <v>1293</v>
      </c>
      <c r="C15" s="68" t="s">
        <v>16</v>
      </c>
      <c r="D15" s="68" t="s">
        <v>17</v>
      </c>
      <c r="E15" s="68" t="n">
        <v>2024</v>
      </c>
      <c r="F15" s="68" t="s">
        <v>805</v>
      </c>
      <c r="G15" s="68" t="s">
        <v>61</v>
      </c>
      <c r="H15" s="68" t="n">
        <v>0.38</v>
      </c>
      <c r="I15" s="68" t="n">
        <v>1808</v>
      </c>
      <c r="J15" s="68" t="s">
        <v>871</v>
      </c>
      <c r="K15" s="68"/>
    </row>
    <row r="16" customFormat="false" ht="14.25" hidden="false" customHeight="true" outlineLevel="0" collapsed="false">
      <c r="A16" s="68" t="s">
        <v>852</v>
      </c>
      <c r="B16" s="68" t="n">
        <v>1294</v>
      </c>
      <c r="C16" s="68" t="s">
        <v>16</v>
      </c>
      <c r="D16" s="68" t="s">
        <v>17</v>
      </c>
      <c r="E16" s="68" t="n">
        <v>2024</v>
      </c>
      <c r="F16" s="68" t="s">
        <v>798</v>
      </c>
      <c r="G16" s="68" t="s">
        <v>61</v>
      </c>
      <c r="H16" s="68" t="n">
        <v>0.42</v>
      </c>
      <c r="I16" s="68" t="n">
        <v>4902</v>
      </c>
      <c r="J16" s="68" t="s">
        <v>872</v>
      </c>
      <c r="K16" s="68"/>
    </row>
    <row r="17" customFormat="false" ht="14.25" hidden="false" customHeight="true" outlineLevel="0" collapsed="false">
      <c r="A17" s="68" t="s">
        <v>852</v>
      </c>
      <c r="B17" s="68" t="n">
        <v>1295</v>
      </c>
      <c r="C17" s="68" t="s">
        <v>16</v>
      </c>
      <c r="D17" s="68" t="s">
        <v>17</v>
      </c>
      <c r="E17" s="68" t="n">
        <v>2024</v>
      </c>
      <c r="F17" s="68" t="s">
        <v>801</v>
      </c>
      <c r="G17" s="68" t="s">
        <v>61</v>
      </c>
      <c r="H17" s="68" t="n">
        <v>0.19</v>
      </c>
      <c r="I17" s="68" t="n">
        <v>666</v>
      </c>
      <c r="J17" s="68" t="s">
        <v>873</v>
      </c>
      <c r="K17" s="68"/>
    </row>
    <row r="18" customFormat="false" ht="14.25" hidden="false" customHeight="true" outlineLevel="0" collapsed="false">
      <c r="A18" s="68" t="s">
        <v>852</v>
      </c>
      <c r="B18" s="68" t="n">
        <v>1296</v>
      </c>
      <c r="C18" s="68" t="s">
        <v>16</v>
      </c>
      <c r="D18" s="68" t="s">
        <v>17</v>
      </c>
      <c r="E18" s="68" t="n">
        <v>2025</v>
      </c>
      <c r="F18" s="68" t="s">
        <v>805</v>
      </c>
      <c r="G18" s="68" t="s">
        <v>853</v>
      </c>
      <c r="H18" s="68" t="n">
        <v>0.17</v>
      </c>
      <c r="I18" s="68" t="n">
        <v>2988</v>
      </c>
      <c r="J18" s="68" t="s">
        <v>874</v>
      </c>
      <c r="K18" s="68"/>
    </row>
    <row r="19" customFormat="false" ht="14.25" hidden="false" customHeight="true" outlineLevel="0" collapsed="false">
      <c r="A19" s="68" t="s">
        <v>852</v>
      </c>
      <c r="B19" s="68" t="n">
        <v>1297</v>
      </c>
      <c r="C19" s="68" t="s">
        <v>16</v>
      </c>
      <c r="D19" s="68" t="s">
        <v>17</v>
      </c>
      <c r="E19" s="68" t="n">
        <v>2025</v>
      </c>
      <c r="F19" s="68" t="s">
        <v>798</v>
      </c>
      <c r="G19" s="68" t="s">
        <v>863</v>
      </c>
      <c r="H19" s="68" t="n">
        <v>0.26</v>
      </c>
      <c r="I19" s="68" t="n">
        <v>2001</v>
      </c>
      <c r="J19" s="68" t="s">
        <v>875</v>
      </c>
      <c r="K19" s="68" t="s">
        <v>876</v>
      </c>
    </row>
    <row r="20" customFormat="false" ht="14.25" hidden="false" customHeight="true" outlineLevel="0" collapsed="false">
      <c r="A20" s="68" t="s">
        <v>852</v>
      </c>
      <c r="B20" s="68" t="n">
        <v>1298</v>
      </c>
      <c r="C20" s="68" t="s">
        <v>22</v>
      </c>
      <c r="D20" s="68" t="s">
        <v>23</v>
      </c>
      <c r="E20" s="68" t="n">
        <v>2020</v>
      </c>
      <c r="F20" s="68" t="s">
        <v>805</v>
      </c>
      <c r="G20" s="68" t="s">
        <v>61</v>
      </c>
      <c r="H20" s="68" t="n">
        <v>-0.06</v>
      </c>
      <c r="I20" s="68" t="n">
        <v>1827</v>
      </c>
      <c r="J20" s="68" t="s">
        <v>877</v>
      </c>
      <c r="K20" s="68" t="s">
        <v>878</v>
      </c>
    </row>
    <row r="21" customFormat="false" ht="14.25" hidden="false" customHeight="true" outlineLevel="0" collapsed="false">
      <c r="A21" s="68" t="s">
        <v>852</v>
      </c>
      <c r="B21" s="68" t="n">
        <v>1299</v>
      </c>
      <c r="C21" s="68" t="s">
        <v>22</v>
      </c>
      <c r="D21" s="68" t="s">
        <v>23</v>
      </c>
      <c r="E21" s="68" t="n">
        <v>2020</v>
      </c>
      <c r="F21" s="68" t="s">
        <v>798</v>
      </c>
      <c r="G21" s="68" t="s">
        <v>863</v>
      </c>
      <c r="H21" s="68" t="n">
        <v>0.35</v>
      </c>
      <c r="I21" s="68" t="n">
        <v>3571</v>
      </c>
      <c r="J21" s="68" t="s">
        <v>879</v>
      </c>
      <c r="K21" s="68"/>
    </row>
    <row r="22" customFormat="false" ht="14.25" hidden="false" customHeight="true" outlineLevel="0" collapsed="false">
      <c r="A22" s="68" t="s">
        <v>852</v>
      </c>
      <c r="B22" s="68" t="n">
        <v>1300</v>
      </c>
      <c r="C22" s="68" t="s">
        <v>22</v>
      </c>
      <c r="D22" s="68" t="s">
        <v>23</v>
      </c>
      <c r="E22" s="68" t="n">
        <v>2020</v>
      </c>
      <c r="F22" s="68" t="s">
        <v>801</v>
      </c>
      <c r="G22" s="68" t="s">
        <v>863</v>
      </c>
      <c r="H22" s="68" t="n">
        <v>0.29</v>
      </c>
      <c r="I22" s="68" t="n">
        <v>1380</v>
      </c>
      <c r="J22" s="68" t="s">
        <v>880</v>
      </c>
      <c r="K22" s="68" t="s">
        <v>881</v>
      </c>
    </row>
    <row r="23" customFormat="false" ht="14.25" hidden="false" customHeight="true" outlineLevel="0" collapsed="false">
      <c r="A23" s="68" t="s">
        <v>852</v>
      </c>
      <c r="B23" s="68" t="n">
        <v>1301</v>
      </c>
      <c r="C23" s="68" t="s">
        <v>22</v>
      </c>
      <c r="D23" s="68" t="s">
        <v>23</v>
      </c>
      <c r="E23" s="68" t="n">
        <v>2021</v>
      </c>
      <c r="F23" s="68" t="s">
        <v>801</v>
      </c>
      <c r="G23" s="68" t="s">
        <v>853</v>
      </c>
      <c r="H23" s="68" t="n">
        <v>0.21</v>
      </c>
      <c r="I23" s="68" t="n">
        <v>2692</v>
      </c>
      <c r="J23" s="68" t="s">
        <v>882</v>
      </c>
      <c r="K23" s="68" t="s">
        <v>881</v>
      </c>
    </row>
    <row r="24" customFormat="false" ht="14.25" hidden="false" customHeight="true" outlineLevel="0" collapsed="false">
      <c r="A24" s="68" t="s">
        <v>852</v>
      </c>
      <c r="B24" s="68" t="n">
        <v>1302</v>
      </c>
      <c r="C24" s="68" t="s">
        <v>22</v>
      </c>
      <c r="D24" s="68" t="s">
        <v>23</v>
      </c>
      <c r="E24" s="68" t="n">
        <v>2022</v>
      </c>
      <c r="F24" s="68" t="s">
        <v>797</v>
      </c>
      <c r="G24" s="68" t="s">
        <v>61</v>
      </c>
      <c r="H24" s="68" t="n">
        <v>0.13</v>
      </c>
      <c r="I24" s="68" t="n">
        <v>225</v>
      </c>
      <c r="J24" s="68" t="s">
        <v>883</v>
      </c>
      <c r="K24" s="68" t="s">
        <v>884</v>
      </c>
    </row>
    <row r="25" customFormat="false" ht="14.25" hidden="false" customHeight="true" outlineLevel="0" collapsed="false">
      <c r="A25" s="68" t="s">
        <v>852</v>
      </c>
      <c r="B25" s="68" t="n">
        <v>1303</v>
      </c>
      <c r="C25" s="68" t="s">
        <v>22</v>
      </c>
      <c r="D25" s="68" t="s">
        <v>23</v>
      </c>
      <c r="E25" s="68" t="n">
        <v>2022</v>
      </c>
      <c r="F25" s="68" t="s">
        <v>805</v>
      </c>
      <c r="G25" s="68" t="s">
        <v>863</v>
      </c>
      <c r="H25" s="68" t="n">
        <v>0.32</v>
      </c>
      <c r="I25" s="68" t="n">
        <v>3035</v>
      </c>
      <c r="J25" s="68" t="s">
        <v>885</v>
      </c>
      <c r="K25" s="68"/>
    </row>
    <row r="26" customFormat="false" ht="14.25" hidden="false" customHeight="true" outlineLevel="0" collapsed="false">
      <c r="A26" s="68" t="s">
        <v>852</v>
      </c>
      <c r="B26" s="68" t="n">
        <v>1304</v>
      </c>
      <c r="C26" s="68" t="s">
        <v>22</v>
      </c>
      <c r="D26" s="68" t="s">
        <v>23</v>
      </c>
      <c r="E26" s="68" t="n">
        <v>2022</v>
      </c>
      <c r="F26" s="68" t="s">
        <v>798</v>
      </c>
      <c r="G26" s="68" t="s">
        <v>863</v>
      </c>
      <c r="H26" s="68" t="n">
        <v>0.12</v>
      </c>
      <c r="I26" s="68" t="n">
        <v>2040</v>
      </c>
      <c r="J26" s="68" t="s">
        <v>886</v>
      </c>
      <c r="K26" s="68"/>
    </row>
    <row r="27" customFormat="false" ht="14.25" hidden="false" customHeight="true" outlineLevel="0" collapsed="false">
      <c r="A27" s="68" t="s">
        <v>852</v>
      </c>
      <c r="B27" s="68" t="n">
        <v>1305</v>
      </c>
      <c r="C27" s="68" t="s">
        <v>22</v>
      </c>
      <c r="D27" s="68" t="s">
        <v>23</v>
      </c>
      <c r="E27" s="68" t="n">
        <v>2022</v>
      </c>
      <c r="F27" s="68" t="s">
        <v>801</v>
      </c>
      <c r="G27" s="68" t="s">
        <v>61</v>
      </c>
      <c r="H27" s="68" t="n">
        <v>0.37</v>
      </c>
      <c r="I27" s="68" t="n">
        <v>4285</v>
      </c>
      <c r="J27" s="68" t="s">
        <v>887</v>
      </c>
      <c r="K27" s="68" t="s">
        <v>888</v>
      </c>
    </row>
    <row r="28" customFormat="false" ht="14.25" hidden="false" customHeight="true" outlineLevel="0" collapsed="false">
      <c r="A28" s="68" t="s">
        <v>852</v>
      </c>
      <c r="B28" s="68" t="n">
        <v>1306</v>
      </c>
      <c r="C28" s="68" t="s">
        <v>22</v>
      </c>
      <c r="D28" s="68" t="s">
        <v>23</v>
      </c>
      <c r="E28" s="68" t="n">
        <v>2023</v>
      </c>
      <c r="F28" s="68" t="s">
        <v>797</v>
      </c>
      <c r="G28" s="68" t="s">
        <v>863</v>
      </c>
      <c r="H28" s="68" t="n">
        <v>0.39</v>
      </c>
      <c r="I28" s="68" t="n">
        <v>2600</v>
      </c>
      <c r="J28" s="68" t="s">
        <v>889</v>
      </c>
      <c r="K28" s="68" t="s">
        <v>888</v>
      </c>
    </row>
    <row r="29" customFormat="false" ht="14.25" hidden="false" customHeight="true" outlineLevel="0" collapsed="false">
      <c r="A29" s="68" t="s">
        <v>852</v>
      </c>
      <c r="B29" s="68" t="n">
        <v>1307</v>
      </c>
      <c r="C29" s="68" t="s">
        <v>22</v>
      </c>
      <c r="D29" s="68" t="s">
        <v>23</v>
      </c>
      <c r="E29" s="68" t="n">
        <v>2023</v>
      </c>
      <c r="F29" s="68" t="s">
        <v>805</v>
      </c>
      <c r="G29" s="68" t="s">
        <v>863</v>
      </c>
      <c r="H29" s="68" t="n">
        <v>0.09</v>
      </c>
      <c r="I29" s="68" t="n">
        <v>2311</v>
      </c>
      <c r="J29" s="68" t="s">
        <v>890</v>
      </c>
      <c r="K29" s="68"/>
    </row>
    <row r="30" customFormat="false" ht="14.25" hidden="false" customHeight="true" outlineLevel="0" collapsed="false">
      <c r="A30" s="68" t="s">
        <v>852</v>
      </c>
      <c r="B30" s="68" t="n">
        <v>1308</v>
      </c>
      <c r="C30" s="68" t="s">
        <v>22</v>
      </c>
      <c r="D30" s="68" t="s">
        <v>23</v>
      </c>
      <c r="E30" s="68" t="n">
        <v>2023</v>
      </c>
      <c r="F30" s="68" t="s">
        <v>798</v>
      </c>
      <c r="G30" s="68" t="s">
        <v>61</v>
      </c>
      <c r="H30" s="68" t="n">
        <v>-0.53</v>
      </c>
      <c r="I30" s="68" t="n">
        <v>1047</v>
      </c>
      <c r="J30" s="68" t="s">
        <v>891</v>
      </c>
      <c r="K30" s="68"/>
    </row>
    <row r="31" customFormat="false" ht="14.25" hidden="false" customHeight="true" outlineLevel="0" collapsed="false">
      <c r="A31" s="68" t="s">
        <v>852</v>
      </c>
      <c r="B31" s="68" t="n">
        <v>1309</v>
      </c>
      <c r="C31" s="68" t="s">
        <v>22</v>
      </c>
      <c r="D31" s="68" t="s">
        <v>23</v>
      </c>
      <c r="E31" s="68" t="n">
        <v>2023</v>
      </c>
      <c r="F31" s="68" t="s">
        <v>801</v>
      </c>
      <c r="G31" s="68" t="s">
        <v>853</v>
      </c>
      <c r="H31" s="68" t="n">
        <v>0</v>
      </c>
      <c r="I31" s="68" t="n">
        <v>3927</v>
      </c>
      <c r="J31" s="68" t="s">
        <v>892</v>
      </c>
      <c r="K31" s="68"/>
    </row>
    <row r="32" customFormat="false" ht="14.25" hidden="false" customHeight="true" outlineLevel="0" collapsed="false">
      <c r="A32" s="68" t="s">
        <v>852</v>
      </c>
      <c r="B32" s="68" t="n">
        <v>1310</v>
      </c>
      <c r="C32" s="68" t="s">
        <v>22</v>
      </c>
      <c r="D32" s="68" t="s">
        <v>23</v>
      </c>
      <c r="E32" s="68" t="n">
        <v>2024</v>
      </c>
      <c r="F32" s="68" t="s">
        <v>797</v>
      </c>
      <c r="G32" s="68" t="s">
        <v>61</v>
      </c>
      <c r="H32" s="68" t="n">
        <v>0.21</v>
      </c>
      <c r="I32" s="68" t="n">
        <v>4299</v>
      </c>
      <c r="J32" s="68" t="s">
        <v>893</v>
      </c>
      <c r="K32" s="68" t="s">
        <v>869</v>
      </c>
    </row>
    <row r="33" customFormat="false" ht="14.25" hidden="false" customHeight="true" outlineLevel="0" collapsed="false">
      <c r="A33" s="68" t="s">
        <v>852</v>
      </c>
      <c r="B33" s="68" t="n">
        <v>1311</v>
      </c>
      <c r="C33" s="68" t="s">
        <v>22</v>
      </c>
      <c r="D33" s="68" t="s">
        <v>23</v>
      </c>
      <c r="E33" s="68" t="n">
        <v>2024</v>
      </c>
      <c r="F33" s="68" t="s">
        <v>805</v>
      </c>
      <c r="G33" s="68" t="s">
        <v>853</v>
      </c>
      <c r="H33" s="68" t="n">
        <v>0.37</v>
      </c>
      <c r="I33" s="68" t="n">
        <v>3742</v>
      </c>
      <c r="J33" s="68" t="s">
        <v>894</v>
      </c>
      <c r="K33" s="68"/>
    </row>
    <row r="34" customFormat="false" ht="14.25" hidden="false" customHeight="true" outlineLevel="0" collapsed="false">
      <c r="A34" s="68" t="s">
        <v>852</v>
      </c>
      <c r="B34" s="68" t="n">
        <v>1312</v>
      </c>
      <c r="C34" s="68" t="s">
        <v>22</v>
      </c>
      <c r="D34" s="68" t="s">
        <v>23</v>
      </c>
      <c r="E34" s="68" t="n">
        <v>2024</v>
      </c>
      <c r="F34" s="68" t="s">
        <v>798</v>
      </c>
      <c r="G34" s="68" t="s">
        <v>863</v>
      </c>
      <c r="H34" s="68" t="n">
        <v>0.22</v>
      </c>
      <c r="I34" s="68" t="n">
        <v>588</v>
      </c>
      <c r="J34" s="68" t="s">
        <v>895</v>
      </c>
      <c r="K34" s="68" t="s">
        <v>896</v>
      </c>
    </row>
    <row r="35" customFormat="false" ht="14.25" hidden="false" customHeight="true" outlineLevel="0" collapsed="false">
      <c r="A35" s="68" t="s">
        <v>852</v>
      </c>
      <c r="B35" s="68" t="n">
        <v>1313</v>
      </c>
      <c r="C35" s="68" t="s">
        <v>22</v>
      </c>
      <c r="D35" s="68" t="s">
        <v>23</v>
      </c>
      <c r="E35" s="68" t="n">
        <v>2024</v>
      </c>
      <c r="F35" s="68" t="s">
        <v>801</v>
      </c>
      <c r="G35" s="68" t="s">
        <v>853</v>
      </c>
      <c r="H35" s="68" t="n">
        <v>0.27</v>
      </c>
      <c r="I35" s="68" t="n">
        <v>2991</v>
      </c>
      <c r="J35" s="68" t="s">
        <v>897</v>
      </c>
      <c r="K35" s="68"/>
    </row>
    <row r="36" customFormat="false" ht="14.25" hidden="false" customHeight="true" outlineLevel="0" collapsed="false">
      <c r="A36" s="68" t="s">
        <v>852</v>
      </c>
      <c r="B36" s="68" t="n">
        <v>1314</v>
      </c>
      <c r="C36" s="68" t="s">
        <v>22</v>
      </c>
      <c r="D36" s="68" t="s">
        <v>23</v>
      </c>
      <c r="E36" s="68" t="n">
        <v>2025</v>
      </c>
      <c r="F36" s="68" t="s">
        <v>805</v>
      </c>
      <c r="G36" s="68" t="s">
        <v>61</v>
      </c>
      <c r="H36" s="68" t="n">
        <v>0.16</v>
      </c>
      <c r="I36" s="68" t="n">
        <v>1329</v>
      </c>
      <c r="J36" s="68" t="s">
        <v>898</v>
      </c>
      <c r="K36" s="68"/>
    </row>
    <row r="37" customFormat="false" ht="14.25" hidden="false" customHeight="true" outlineLevel="0" collapsed="false">
      <c r="A37" s="68" t="s">
        <v>852</v>
      </c>
      <c r="B37" s="68" t="n">
        <v>1315</v>
      </c>
      <c r="C37" s="68" t="s">
        <v>22</v>
      </c>
      <c r="D37" s="68" t="s">
        <v>23</v>
      </c>
      <c r="E37" s="68" t="n">
        <v>2025</v>
      </c>
      <c r="F37" s="68" t="s">
        <v>798</v>
      </c>
      <c r="G37" s="68" t="s">
        <v>61</v>
      </c>
      <c r="H37" s="68" t="n">
        <v>-0.19</v>
      </c>
      <c r="I37" s="68" t="n">
        <v>1909</v>
      </c>
      <c r="J37" s="68" t="s">
        <v>899</v>
      </c>
      <c r="K37" s="68"/>
    </row>
    <row r="38" customFormat="false" ht="14.25" hidden="false" customHeight="true" outlineLevel="0" collapsed="false">
      <c r="A38" s="68" t="s">
        <v>852</v>
      </c>
      <c r="B38" s="68" t="n">
        <v>1316</v>
      </c>
      <c r="C38" s="68" t="s">
        <v>27</v>
      </c>
      <c r="D38" s="68" t="s">
        <v>28</v>
      </c>
      <c r="E38" s="68" t="n">
        <v>2020</v>
      </c>
      <c r="F38" s="68" t="s">
        <v>797</v>
      </c>
      <c r="G38" s="68" t="s">
        <v>61</v>
      </c>
      <c r="H38" s="68" t="n">
        <v>0.54</v>
      </c>
      <c r="I38" s="68" t="n">
        <v>4450</v>
      </c>
      <c r="J38" s="68" t="s">
        <v>900</v>
      </c>
      <c r="K38" s="68" t="s">
        <v>901</v>
      </c>
    </row>
    <row r="39" customFormat="false" ht="14.25" hidden="false" customHeight="true" outlineLevel="0" collapsed="false">
      <c r="A39" s="68" t="s">
        <v>852</v>
      </c>
      <c r="B39" s="68" t="n">
        <v>1317</v>
      </c>
      <c r="C39" s="68" t="s">
        <v>27</v>
      </c>
      <c r="D39" s="68" t="s">
        <v>28</v>
      </c>
      <c r="E39" s="68" t="n">
        <v>2020</v>
      </c>
      <c r="F39" s="68" t="s">
        <v>805</v>
      </c>
      <c r="G39" s="68" t="s">
        <v>61</v>
      </c>
      <c r="H39" s="68" t="n">
        <v>0.5</v>
      </c>
      <c r="I39" s="68" t="n">
        <v>2282</v>
      </c>
      <c r="J39" s="68" t="s">
        <v>902</v>
      </c>
      <c r="K39" s="68"/>
    </row>
    <row r="40" customFormat="false" ht="14.25" hidden="false" customHeight="true" outlineLevel="0" collapsed="false">
      <c r="A40" s="68" t="s">
        <v>852</v>
      </c>
      <c r="B40" s="68" t="n">
        <v>1318</v>
      </c>
      <c r="C40" s="68" t="s">
        <v>27</v>
      </c>
      <c r="D40" s="68" t="s">
        <v>28</v>
      </c>
      <c r="E40" s="68" t="n">
        <v>2020</v>
      </c>
      <c r="F40" s="68" t="s">
        <v>798</v>
      </c>
      <c r="G40" s="68" t="s">
        <v>853</v>
      </c>
      <c r="H40" s="68" t="n">
        <v>0.54</v>
      </c>
      <c r="I40" s="68" t="n">
        <v>4474</v>
      </c>
      <c r="J40" s="68" t="s">
        <v>903</v>
      </c>
      <c r="K40" s="68"/>
    </row>
    <row r="41" customFormat="false" ht="14.25" hidden="false" customHeight="true" outlineLevel="0" collapsed="false">
      <c r="A41" s="68" t="s">
        <v>852</v>
      </c>
      <c r="B41" s="68" t="n">
        <v>1319</v>
      </c>
      <c r="C41" s="68" t="s">
        <v>27</v>
      </c>
      <c r="D41" s="68" t="s">
        <v>28</v>
      </c>
      <c r="E41" s="68" t="n">
        <v>2020</v>
      </c>
      <c r="F41" s="68" t="s">
        <v>801</v>
      </c>
      <c r="G41" s="68" t="s">
        <v>863</v>
      </c>
      <c r="H41" s="68" t="n">
        <v>0.26</v>
      </c>
      <c r="I41" s="68" t="n">
        <v>1544</v>
      </c>
      <c r="J41" s="68" t="s">
        <v>904</v>
      </c>
      <c r="K41" s="68"/>
    </row>
    <row r="42" customFormat="false" ht="14.25" hidden="false" customHeight="true" outlineLevel="0" collapsed="false">
      <c r="A42" s="68" t="s">
        <v>852</v>
      </c>
      <c r="B42" s="68" t="n">
        <v>1320</v>
      </c>
      <c r="C42" s="68" t="s">
        <v>27</v>
      </c>
      <c r="D42" s="68" t="s">
        <v>28</v>
      </c>
      <c r="E42" s="68" t="n">
        <v>2021</v>
      </c>
      <c r="F42" s="68" t="s">
        <v>797</v>
      </c>
      <c r="G42" s="68" t="s">
        <v>863</v>
      </c>
      <c r="H42" s="68" t="n">
        <v>0.28</v>
      </c>
      <c r="I42" s="68" t="n">
        <v>3538</v>
      </c>
      <c r="J42" s="68" t="s">
        <v>905</v>
      </c>
      <c r="K42" s="68"/>
    </row>
    <row r="43" customFormat="false" ht="14.25" hidden="false" customHeight="true" outlineLevel="0" collapsed="false">
      <c r="A43" s="68" t="s">
        <v>852</v>
      </c>
      <c r="B43" s="68" t="n">
        <v>1321</v>
      </c>
      <c r="C43" s="68" t="s">
        <v>27</v>
      </c>
      <c r="D43" s="68" t="s">
        <v>28</v>
      </c>
      <c r="E43" s="68" t="n">
        <v>2021</v>
      </c>
      <c r="F43" s="68" t="s">
        <v>805</v>
      </c>
      <c r="G43" s="68" t="s">
        <v>61</v>
      </c>
      <c r="H43" s="68" t="n">
        <v>0.42</v>
      </c>
      <c r="I43" s="68" t="n">
        <v>1714</v>
      </c>
      <c r="J43" s="68" t="s">
        <v>906</v>
      </c>
      <c r="K43" s="68"/>
    </row>
    <row r="44" customFormat="false" ht="14.25" hidden="false" customHeight="true" outlineLevel="0" collapsed="false">
      <c r="A44" s="68" t="s">
        <v>852</v>
      </c>
      <c r="B44" s="68" t="n">
        <v>1322</v>
      </c>
      <c r="C44" s="68" t="s">
        <v>27</v>
      </c>
      <c r="D44" s="68" t="s">
        <v>28</v>
      </c>
      <c r="E44" s="68" t="n">
        <v>2021</v>
      </c>
      <c r="F44" s="68" t="s">
        <v>801</v>
      </c>
      <c r="G44" s="68" t="s">
        <v>853</v>
      </c>
      <c r="H44" s="68" t="n">
        <v>0.26</v>
      </c>
      <c r="I44" s="68" t="n">
        <v>2422</v>
      </c>
      <c r="J44" s="68" t="s">
        <v>907</v>
      </c>
      <c r="K44" s="68"/>
    </row>
    <row r="45" customFormat="false" ht="14.25" hidden="false" customHeight="true" outlineLevel="0" collapsed="false">
      <c r="A45" s="68" t="s">
        <v>852</v>
      </c>
      <c r="B45" s="68" t="n">
        <v>1323</v>
      </c>
      <c r="C45" s="68" t="s">
        <v>27</v>
      </c>
      <c r="D45" s="68" t="s">
        <v>28</v>
      </c>
      <c r="E45" s="68" t="n">
        <v>2022</v>
      </c>
      <c r="F45" s="68" t="s">
        <v>797</v>
      </c>
      <c r="G45" s="68" t="s">
        <v>61</v>
      </c>
      <c r="H45" s="68" t="n">
        <v>0.59</v>
      </c>
      <c r="I45" s="68" t="n">
        <v>1012</v>
      </c>
      <c r="J45" s="68" t="s">
        <v>908</v>
      </c>
      <c r="K45" s="68"/>
    </row>
    <row r="46" customFormat="false" ht="14.25" hidden="false" customHeight="true" outlineLevel="0" collapsed="false">
      <c r="A46" s="68" t="s">
        <v>852</v>
      </c>
      <c r="B46" s="68" t="n">
        <v>1324</v>
      </c>
      <c r="C46" s="68" t="s">
        <v>27</v>
      </c>
      <c r="D46" s="68" t="s">
        <v>28</v>
      </c>
      <c r="E46" s="68" t="n">
        <v>2022</v>
      </c>
      <c r="F46" s="68" t="s">
        <v>805</v>
      </c>
      <c r="G46" s="68" t="s">
        <v>853</v>
      </c>
      <c r="H46" s="68" t="n">
        <v>0.21</v>
      </c>
      <c r="I46" s="68" t="n">
        <v>1226</v>
      </c>
      <c r="J46" s="68" t="s">
        <v>909</v>
      </c>
      <c r="K46" s="68" t="s">
        <v>910</v>
      </c>
    </row>
    <row r="47" customFormat="false" ht="14.25" hidden="false" customHeight="true" outlineLevel="0" collapsed="false">
      <c r="A47" s="68" t="s">
        <v>852</v>
      </c>
      <c r="B47" s="68" t="n">
        <v>1325</v>
      </c>
      <c r="C47" s="68" t="s">
        <v>27</v>
      </c>
      <c r="D47" s="68" t="s">
        <v>28</v>
      </c>
      <c r="E47" s="68" t="n">
        <v>2022</v>
      </c>
      <c r="F47" s="68" t="s">
        <v>798</v>
      </c>
      <c r="G47" s="68" t="s">
        <v>863</v>
      </c>
      <c r="H47" s="68" t="n">
        <v>0.47</v>
      </c>
      <c r="I47" s="68" t="n">
        <v>3945</v>
      </c>
      <c r="J47" s="68" t="s">
        <v>911</v>
      </c>
      <c r="K47" s="68"/>
    </row>
    <row r="48" customFormat="false" ht="14.25" hidden="false" customHeight="true" outlineLevel="0" collapsed="false">
      <c r="A48" s="68" t="s">
        <v>852</v>
      </c>
      <c r="B48" s="68" t="n">
        <v>1326</v>
      </c>
      <c r="C48" s="68" t="s">
        <v>27</v>
      </c>
      <c r="D48" s="68" t="s">
        <v>28</v>
      </c>
      <c r="E48" s="68" t="n">
        <v>2022</v>
      </c>
      <c r="F48" s="68" t="s">
        <v>801</v>
      </c>
      <c r="G48" s="68" t="s">
        <v>61</v>
      </c>
      <c r="H48" s="68" t="n">
        <v>0.03</v>
      </c>
      <c r="I48" s="68" t="n">
        <v>3716</v>
      </c>
      <c r="J48" s="68" t="s">
        <v>912</v>
      </c>
      <c r="K48" s="68"/>
    </row>
    <row r="49" customFormat="false" ht="14.25" hidden="false" customHeight="true" outlineLevel="0" collapsed="false">
      <c r="A49" s="68" t="s">
        <v>852</v>
      </c>
      <c r="B49" s="68" t="n">
        <v>1327</v>
      </c>
      <c r="C49" s="68" t="s">
        <v>27</v>
      </c>
      <c r="D49" s="68" t="s">
        <v>28</v>
      </c>
      <c r="E49" s="68" t="n">
        <v>2023</v>
      </c>
      <c r="F49" s="68" t="s">
        <v>805</v>
      </c>
      <c r="G49" s="68" t="s">
        <v>853</v>
      </c>
      <c r="H49" s="68" t="n">
        <v>0.32</v>
      </c>
      <c r="I49" s="68" t="n">
        <v>4274</v>
      </c>
      <c r="J49" s="68" t="s">
        <v>913</v>
      </c>
      <c r="K49" s="68" t="s">
        <v>888</v>
      </c>
    </row>
    <row r="50" customFormat="false" ht="14.25" hidden="false" customHeight="true" outlineLevel="0" collapsed="false">
      <c r="A50" s="68" t="s">
        <v>852</v>
      </c>
      <c r="B50" s="68" t="n">
        <v>1328</v>
      </c>
      <c r="C50" s="68" t="s">
        <v>27</v>
      </c>
      <c r="D50" s="68" t="s">
        <v>28</v>
      </c>
      <c r="E50" s="68" t="n">
        <v>2023</v>
      </c>
      <c r="F50" s="68" t="s">
        <v>798</v>
      </c>
      <c r="G50" s="68" t="s">
        <v>853</v>
      </c>
      <c r="H50" s="68" t="n">
        <v>0.48</v>
      </c>
      <c r="I50" s="68" t="n">
        <v>2162</v>
      </c>
      <c r="J50" s="68" t="s">
        <v>914</v>
      </c>
      <c r="K50" s="68"/>
    </row>
    <row r="51" customFormat="false" ht="14.25" hidden="false" customHeight="true" outlineLevel="0" collapsed="false">
      <c r="A51" s="68" t="s">
        <v>852</v>
      </c>
      <c r="B51" s="68" t="n">
        <v>1329</v>
      </c>
      <c r="C51" s="68" t="s">
        <v>27</v>
      </c>
      <c r="D51" s="68" t="s">
        <v>28</v>
      </c>
      <c r="E51" s="68" t="n">
        <v>2024</v>
      </c>
      <c r="F51" s="68" t="s">
        <v>797</v>
      </c>
      <c r="G51" s="68" t="s">
        <v>853</v>
      </c>
      <c r="H51" s="68" t="n">
        <v>-0.02</v>
      </c>
      <c r="I51" s="68" t="n">
        <v>4125</v>
      </c>
      <c r="J51" s="68" t="s">
        <v>915</v>
      </c>
      <c r="K51" s="68"/>
    </row>
    <row r="52" customFormat="false" ht="14.25" hidden="false" customHeight="true" outlineLevel="0" collapsed="false">
      <c r="A52" s="68" t="s">
        <v>852</v>
      </c>
      <c r="B52" s="68" t="n">
        <v>1330</v>
      </c>
      <c r="C52" s="68" t="s">
        <v>27</v>
      </c>
      <c r="D52" s="68" t="s">
        <v>28</v>
      </c>
      <c r="E52" s="68" t="n">
        <v>2024</v>
      </c>
      <c r="F52" s="68" t="s">
        <v>805</v>
      </c>
      <c r="G52" s="68" t="s">
        <v>863</v>
      </c>
      <c r="H52" s="68" t="n">
        <v>0.68</v>
      </c>
      <c r="I52" s="68" t="n">
        <v>2911</v>
      </c>
      <c r="J52" s="68" t="s">
        <v>916</v>
      </c>
      <c r="K52" s="68"/>
    </row>
    <row r="53" customFormat="false" ht="14.25" hidden="false" customHeight="true" outlineLevel="0" collapsed="false">
      <c r="A53" s="68" t="s">
        <v>852</v>
      </c>
      <c r="B53" s="68" t="n">
        <v>1331</v>
      </c>
      <c r="C53" s="68" t="s">
        <v>27</v>
      </c>
      <c r="D53" s="68" t="s">
        <v>28</v>
      </c>
      <c r="E53" s="68" t="n">
        <v>2024</v>
      </c>
      <c r="F53" s="68" t="s">
        <v>798</v>
      </c>
      <c r="G53" s="68" t="s">
        <v>853</v>
      </c>
      <c r="H53" s="68" t="n">
        <v>0.48</v>
      </c>
      <c r="I53" s="68" t="n">
        <v>614</v>
      </c>
      <c r="J53" s="68" t="s">
        <v>917</v>
      </c>
      <c r="K53" s="68"/>
    </row>
    <row r="54" customFormat="false" ht="14.25" hidden="false" customHeight="true" outlineLevel="0" collapsed="false">
      <c r="A54" s="68" t="s">
        <v>852</v>
      </c>
      <c r="B54" s="68" t="n">
        <v>1332</v>
      </c>
      <c r="C54" s="68" t="s">
        <v>27</v>
      </c>
      <c r="D54" s="68" t="s">
        <v>28</v>
      </c>
      <c r="E54" s="68" t="n">
        <v>2024</v>
      </c>
      <c r="F54" s="68" t="s">
        <v>801</v>
      </c>
      <c r="G54" s="68" t="s">
        <v>61</v>
      </c>
      <c r="H54" s="68" t="n">
        <v>0.42</v>
      </c>
      <c r="I54" s="68" t="n">
        <v>3745</v>
      </c>
      <c r="J54" s="68" t="s">
        <v>918</v>
      </c>
      <c r="K54" s="68"/>
    </row>
    <row r="55" customFormat="false" ht="14.25" hidden="false" customHeight="true" outlineLevel="0" collapsed="false">
      <c r="A55" s="68" t="s">
        <v>852</v>
      </c>
      <c r="B55" s="68" t="n">
        <v>1333</v>
      </c>
      <c r="C55" s="68" t="s">
        <v>27</v>
      </c>
      <c r="D55" s="68" t="s">
        <v>28</v>
      </c>
      <c r="E55" s="68" t="n">
        <v>2025</v>
      </c>
      <c r="F55" s="68" t="s">
        <v>797</v>
      </c>
      <c r="G55" s="68" t="s">
        <v>61</v>
      </c>
      <c r="H55" s="68" t="n">
        <v>0.59</v>
      </c>
      <c r="I55" s="68" t="n">
        <v>1348</v>
      </c>
      <c r="J55" s="68" t="s">
        <v>919</v>
      </c>
      <c r="K55" s="68" t="s">
        <v>861</v>
      </c>
    </row>
    <row r="56" customFormat="false" ht="14.25" hidden="false" customHeight="true" outlineLevel="0" collapsed="false">
      <c r="A56" s="68" t="s">
        <v>852</v>
      </c>
      <c r="B56" s="68" t="n">
        <v>1334</v>
      </c>
      <c r="C56" s="68" t="s">
        <v>27</v>
      </c>
      <c r="D56" s="68" t="s">
        <v>28</v>
      </c>
      <c r="E56" s="68" t="n">
        <v>2025</v>
      </c>
      <c r="F56" s="68" t="s">
        <v>805</v>
      </c>
      <c r="G56" s="68" t="s">
        <v>853</v>
      </c>
      <c r="H56" s="68" t="n">
        <v>0.41</v>
      </c>
      <c r="I56" s="68" t="n">
        <v>3990</v>
      </c>
      <c r="J56" s="68" t="s">
        <v>920</v>
      </c>
      <c r="K56" s="68"/>
    </row>
    <row r="57" customFormat="false" ht="14.25" hidden="false" customHeight="true" outlineLevel="0" collapsed="false">
      <c r="A57" s="68" t="s">
        <v>852</v>
      </c>
      <c r="B57" s="68" t="n">
        <v>1335</v>
      </c>
      <c r="C57" s="68" t="s">
        <v>27</v>
      </c>
      <c r="D57" s="68" t="s">
        <v>28</v>
      </c>
      <c r="E57" s="68" t="n">
        <v>2025</v>
      </c>
      <c r="F57" s="68" t="s">
        <v>798</v>
      </c>
      <c r="G57" s="68" t="s">
        <v>853</v>
      </c>
      <c r="H57" s="68" t="n">
        <v>0.35</v>
      </c>
      <c r="I57" s="68" t="n">
        <v>2709</v>
      </c>
      <c r="J57" s="68" t="s">
        <v>921</v>
      </c>
      <c r="K57" s="68" t="s">
        <v>922</v>
      </c>
    </row>
    <row r="58" customFormat="false" ht="14.25" hidden="false" customHeight="true" outlineLevel="0" collapsed="false">
      <c r="A58" s="68" t="s">
        <v>852</v>
      </c>
      <c r="B58" s="68" t="n">
        <v>1336</v>
      </c>
      <c r="C58" s="68" t="s">
        <v>31</v>
      </c>
      <c r="D58" s="68" t="s">
        <v>32</v>
      </c>
      <c r="E58" s="68" t="n">
        <v>2020</v>
      </c>
      <c r="F58" s="68" t="s">
        <v>797</v>
      </c>
      <c r="G58" s="68" t="s">
        <v>61</v>
      </c>
      <c r="H58" s="68" t="n">
        <v>0.56</v>
      </c>
      <c r="I58" s="68" t="n">
        <v>2233</v>
      </c>
      <c r="J58" s="68" t="s">
        <v>923</v>
      </c>
      <c r="K58" s="68"/>
    </row>
    <row r="59" customFormat="false" ht="14.25" hidden="false" customHeight="true" outlineLevel="0" collapsed="false">
      <c r="A59" s="68" t="s">
        <v>852</v>
      </c>
      <c r="B59" s="68" t="n">
        <v>1337</v>
      </c>
      <c r="C59" s="68" t="s">
        <v>31</v>
      </c>
      <c r="D59" s="68" t="s">
        <v>32</v>
      </c>
      <c r="E59" s="68" t="n">
        <v>2020</v>
      </c>
      <c r="F59" s="68" t="s">
        <v>805</v>
      </c>
      <c r="G59" s="68" t="s">
        <v>853</v>
      </c>
      <c r="H59" s="68" t="n">
        <v>0.38</v>
      </c>
      <c r="I59" s="68" t="n">
        <v>2027</v>
      </c>
      <c r="J59" s="68" t="s">
        <v>924</v>
      </c>
      <c r="K59" s="68" t="s">
        <v>925</v>
      </c>
    </row>
    <row r="60" customFormat="false" ht="14.25" hidden="false" customHeight="true" outlineLevel="0" collapsed="false">
      <c r="A60" s="68" t="s">
        <v>852</v>
      </c>
      <c r="B60" s="68" t="n">
        <v>1338</v>
      </c>
      <c r="C60" s="68" t="s">
        <v>31</v>
      </c>
      <c r="D60" s="68" t="s">
        <v>32</v>
      </c>
      <c r="E60" s="68" t="n">
        <v>2020</v>
      </c>
      <c r="F60" s="68" t="s">
        <v>801</v>
      </c>
      <c r="G60" s="68" t="s">
        <v>61</v>
      </c>
      <c r="H60" s="68" t="n">
        <v>0.24</v>
      </c>
      <c r="I60" s="68" t="n">
        <v>4052</v>
      </c>
      <c r="J60" s="68" t="s">
        <v>926</v>
      </c>
      <c r="K60" s="68" t="s">
        <v>881</v>
      </c>
    </row>
    <row r="61" customFormat="false" ht="14.25" hidden="false" customHeight="true" outlineLevel="0" collapsed="false">
      <c r="A61" s="68" t="s">
        <v>852</v>
      </c>
      <c r="B61" s="68" t="n">
        <v>1339</v>
      </c>
      <c r="C61" s="68" t="s">
        <v>31</v>
      </c>
      <c r="D61" s="68" t="s">
        <v>32</v>
      </c>
      <c r="E61" s="68" t="n">
        <v>2021</v>
      </c>
      <c r="F61" s="68" t="s">
        <v>797</v>
      </c>
      <c r="G61" s="68" t="s">
        <v>853</v>
      </c>
      <c r="H61" s="68" t="n">
        <v>0.3</v>
      </c>
      <c r="I61" s="68" t="n">
        <v>2080</v>
      </c>
      <c r="J61" s="68" t="s">
        <v>927</v>
      </c>
      <c r="K61" s="68"/>
    </row>
    <row r="62" customFormat="false" ht="14.25" hidden="false" customHeight="true" outlineLevel="0" collapsed="false">
      <c r="A62" s="68" t="s">
        <v>852</v>
      </c>
      <c r="B62" s="68" t="n">
        <v>1340</v>
      </c>
      <c r="C62" s="68" t="s">
        <v>31</v>
      </c>
      <c r="D62" s="68" t="s">
        <v>32</v>
      </c>
      <c r="E62" s="68" t="n">
        <v>2021</v>
      </c>
      <c r="F62" s="68" t="s">
        <v>805</v>
      </c>
      <c r="G62" s="68" t="s">
        <v>863</v>
      </c>
      <c r="H62" s="68" t="n">
        <v>0.07</v>
      </c>
      <c r="I62" s="68" t="n">
        <v>419</v>
      </c>
      <c r="J62" s="68" t="s">
        <v>928</v>
      </c>
      <c r="K62" s="68"/>
    </row>
    <row r="63" customFormat="false" ht="14.25" hidden="false" customHeight="true" outlineLevel="0" collapsed="false">
      <c r="A63" s="68" t="s">
        <v>852</v>
      </c>
      <c r="B63" s="68" t="n">
        <v>1341</v>
      </c>
      <c r="C63" s="68" t="s">
        <v>31</v>
      </c>
      <c r="D63" s="68" t="s">
        <v>32</v>
      </c>
      <c r="E63" s="68" t="n">
        <v>2021</v>
      </c>
      <c r="F63" s="68" t="s">
        <v>798</v>
      </c>
      <c r="G63" s="68" t="s">
        <v>863</v>
      </c>
      <c r="H63" s="68" t="n">
        <v>0.48</v>
      </c>
      <c r="I63" s="68" t="n">
        <v>4155</v>
      </c>
      <c r="J63" s="68" t="s">
        <v>929</v>
      </c>
      <c r="K63" s="68"/>
    </row>
    <row r="64" customFormat="false" ht="14.25" hidden="false" customHeight="true" outlineLevel="0" collapsed="false">
      <c r="A64" s="68" t="s">
        <v>852</v>
      </c>
      <c r="B64" s="68" t="n">
        <v>1342</v>
      </c>
      <c r="C64" s="68" t="s">
        <v>31</v>
      </c>
      <c r="D64" s="68" t="s">
        <v>32</v>
      </c>
      <c r="E64" s="68" t="n">
        <v>2021</v>
      </c>
      <c r="F64" s="68" t="s">
        <v>801</v>
      </c>
      <c r="G64" s="68" t="s">
        <v>61</v>
      </c>
      <c r="H64" s="68" t="n">
        <v>0.04</v>
      </c>
      <c r="I64" s="68" t="n">
        <v>3928</v>
      </c>
      <c r="J64" s="68" t="s">
        <v>930</v>
      </c>
      <c r="K64" s="68" t="s">
        <v>878</v>
      </c>
    </row>
    <row r="65" customFormat="false" ht="14.25" hidden="false" customHeight="true" outlineLevel="0" collapsed="false">
      <c r="A65" s="68" t="s">
        <v>852</v>
      </c>
      <c r="B65" s="68" t="n">
        <v>1343</v>
      </c>
      <c r="C65" s="68" t="s">
        <v>31</v>
      </c>
      <c r="D65" s="68" t="s">
        <v>32</v>
      </c>
      <c r="E65" s="68" t="n">
        <v>2022</v>
      </c>
      <c r="F65" s="68" t="s">
        <v>797</v>
      </c>
      <c r="G65" s="68" t="s">
        <v>61</v>
      </c>
      <c r="H65" s="68" t="n">
        <v>-0.13</v>
      </c>
      <c r="I65" s="68" t="n">
        <v>4038</v>
      </c>
      <c r="J65" s="68" t="s">
        <v>931</v>
      </c>
      <c r="K65" s="68"/>
    </row>
    <row r="66" customFormat="false" ht="14.25" hidden="false" customHeight="true" outlineLevel="0" collapsed="false">
      <c r="A66" s="68" t="s">
        <v>852</v>
      </c>
      <c r="B66" s="68" t="n">
        <v>1344</v>
      </c>
      <c r="C66" s="68" t="s">
        <v>31</v>
      </c>
      <c r="D66" s="68" t="s">
        <v>32</v>
      </c>
      <c r="E66" s="68" t="n">
        <v>2022</v>
      </c>
      <c r="F66" s="68" t="s">
        <v>805</v>
      </c>
      <c r="G66" s="68" t="s">
        <v>853</v>
      </c>
      <c r="H66" s="68" t="n">
        <v>0.49</v>
      </c>
      <c r="I66" s="68" t="n">
        <v>3990</v>
      </c>
      <c r="J66" s="68" t="s">
        <v>932</v>
      </c>
      <c r="K66" s="68"/>
    </row>
    <row r="67" customFormat="false" ht="14.25" hidden="false" customHeight="true" outlineLevel="0" collapsed="false">
      <c r="A67" s="68" t="s">
        <v>852</v>
      </c>
      <c r="B67" s="68" t="n">
        <v>1345</v>
      </c>
      <c r="C67" s="68" t="s">
        <v>31</v>
      </c>
      <c r="D67" s="68" t="s">
        <v>32</v>
      </c>
      <c r="E67" s="68" t="n">
        <v>2022</v>
      </c>
      <c r="F67" s="68" t="s">
        <v>798</v>
      </c>
      <c r="G67" s="68" t="s">
        <v>853</v>
      </c>
      <c r="H67" s="68" t="n">
        <v>0.17</v>
      </c>
      <c r="I67" s="68" t="n">
        <v>919</v>
      </c>
      <c r="J67" s="68" t="s">
        <v>933</v>
      </c>
      <c r="K67" s="68" t="s">
        <v>881</v>
      </c>
    </row>
    <row r="68" customFormat="false" ht="14.25" hidden="false" customHeight="true" outlineLevel="0" collapsed="false">
      <c r="A68" s="68" t="s">
        <v>852</v>
      </c>
      <c r="B68" s="68" t="n">
        <v>1346</v>
      </c>
      <c r="C68" s="68" t="s">
        <v>31</v>
      </c>
      <c r="D68" s="68" t="s">
        <v>32</v>
      </c>
      <c r="E68" s="68" t="n">
        <v>2022</v>
      </c>
      <c r="F68" s="68" t="s">
        <v>801</v>
      </c>
      <c r="G68" s="68" t="s">
        <v>61</v>
      </c>
      <c r="H68" s="68" t="n">
        <v>0.4</v>
      </c>
      <c r="I68" s="68" t="n">
        <v>3753</v>
      </c>
      <c r="J68" s="68" t="s">
        <v>934</v>
      </c>
      <c r="K68" s="68" t="s">
        <v>935</v>
      </c>
    </row>
    <row r="69" customFormat="false" ht="14.25" hidden="false" customHeight="true" outlineLevel="0" collapsed="false">
      <c r="A69" s="68" t="s">
        <v>852</v>
      </c>
      <c r="B69" s="68" t="n">
        <v>1347</v>
      </c>
      <c r="C69" s="68" t="s">
        <v>31</v>
      </c>
      <c r="D69" s="68" t="s">
        <v>32</v>
      </c>
      <c r="E69" s="68" t="n">
        <v>2023</v>
      </c>
      <c r="F69" s="68" t="s">
        <v>797</v>
      </c>
      <c r="G69" s="68" t="s">
        <v>61</v>
      </c>
      <c r="H69" s="68" t="n">
        <v>0.5</v>
      </c>
      <c r="I69" s="68" t="n">
        <v>149</v>
      </c>
      <c r="J69" s="68" t="s">
        <v>936</v>
      </c>
      <c r="K69" s="68" t="s">
        <v>937</v>
      </c>
    </row>
    <row r="70" customFormat="false" ht="14.25" hidden="false" customHeight="true" outlineLevel="0" collapsed="false">
      <c r="A70" s="68" t="s">
        <v>852</v>
      </c>
      <c r="B70" s="68" t="n">
        <v>1348</v>
      </c>
      <c r="C70" s="68" t="s">
        <v>31</v>
      </c>
      <c r="D70" s="68" t="s">
        <v>32</v>
      </c>
      <c r="E70" s="68" t="n">
        <v>2023</v>
      </c>
      <c r="F70" s="68" t="s">
        <v>805</v>
      </c>
      <c r="G70" s="68" t="s">
        <v>853</v>
      </c>
      <c r="H70" s="68" t="n">
        <v>-0.23</v>
      </c>
      <c r="I70" s="68" t="n">
        <v>1437</v>
      </c>
      <c r="J70" s="68" t="s">
        <v>938</v>
      </c>
      <c r="K70" s="68"/>
    </row>
    <row r="71" customFormat="false" ht="14.25" hidden="false" customHeight="true" outlineLevel="0" collapsed="false">
      <c r="A71" s="68" t="s">
        <v>852</v>
      </c>
      <c r="B71" s="68" t="n">
        <v>1349</v>
      </c>
      <c r="C71" s="68" t="s">
        <v>31</v>
      </c>
      <c r="D71" s="68" t="s">
        <v>32</v>
      </c>
      <c r="E71" s="68" t="n">
        <v>2023</v>
      </c>
      <c r="F71" s="68" t="s">
        <v>801</v>
      </c>
      <c r="G71" s="68" t="s">
        <v>853</v>
      </c>
      <c r="H71" s="68" t="n">
        <v>0.3</v>
      </c>
      <c r="I71" s="68" t="n">
        <v>1774</v>
      </c>
      <c r="J71" s="68" t="s">
        <v>939</v>
      </c>
      <c r="K71" s="68"/>
    </row>
    <row r="72" customFormat="false" ht="14.25" hidden="false" customHeight="true" outlineLevel="0" collapsed="false">
      <c r="A72" s="68" t="s">
        <v>852</v>
      </c>
      <c r="B72" s="68" t="n">
        <v>1350</v>
      </c>
      <c r="C72" s="68" t="s">
        <v>31</v>
      </c>
      <c r="D72" s="68" t="s">
        <v>32</v>
      </c>
      <c r="E72" s="68" t="n">
        <v>2024</v>
      </c>
      <c r="F72" s="68" t="s">
        <v>797</v>
      </c>
      <c r="G72" s="68" t="s">
        <v>853</v>
      </c>
      <c r="H72" s="68" t="n">
        <v>0.02</v>
      </c>
      <c r="I72" s="68" t="n">
        <v>4990</v>
      </c>
      <c r="J72" s="68" t="s">
        <v>940</v>
      </c>
      <c r="K72" s="68"/>
    </row>
    <row r="73" customFormat="false" ht="14.25" hidden="false" customHeight="true" outlineLevel="0" collapsed="false">
      <c r="A73" s="68" t="s">
        <v>852</v>
      </c>
      <c r="B73" s="68" t="n">
        <v>1351</v>
      </c>
      <c r="C73" s="68" t="s">
        <v>31</v>
      </c>
      <c r="D73" s="68" t="s">
        <v>32</v>
      </c>
      <c r="E73" s="68" t="n">
        <v>2024</v>
      </c>
      <c r="F73" s="68" t="s">
        <v>805</v>
      </c>
      <c r="G73" s="68" t="s">
        <v>863</v>
      </c>
      <c r="H73" s="68" t="n">
        <v>0.44</v>
      </c>
      <c r="I73" s="68" t="n">
        <v>62</v>
      </c>
      <c r="J73" s="68" t="s">
        <v>941</v>
      </c>
      <c r="K73" s="68" t="s">
        <v>942</v>
      </c>
    </row>
    <row r="74" customFormat="false" ht="14.25" hidden="false" customHeight="true" outlineLevel="0" collapsed="false">
      <c r="A74" s="68" t="s">
        <v>852</v>
      </c>
      <c r="B74" s="68" t="n">
        <v>1352</v>
      </c>
      <c r="C74" s="68" t="s">
        <v>31</v>
      </c>
      <c r="D74" s="68" t="s">
        <v>32</v>
      </c>
      <c r="E74" s="68" t="n">
        <v>2024</v>
      </c>
      <c r="F74" s="68" t="s">
        <v>798</v>
      </c>
      <c r="G74" s="68" t="s">
        <v>853</v>
      </c>
      <c r="H74" s="68" t="n">
        <v>0.07</v>
      </c>
      <c r="I74" s="68" t="n">
        <v>121</v>
      </c>
      <c r="J74" s="68" t="s">
        <v>943</v>
      </c>
      <c r="K74" s="68"/>
    </row>
    <row r="75" customFormat="false" ht="14.25" hidden="false" customHeight="true" outlineLevel="0" collapsed="false">
      <c r="A75" s="68" t="s">
        <v>852</v>
      </c>
      <c r="B75" s="68" t="n">
        <v>1353</v>
      </c>
      <c r="C75" s="68" t="s">
        <v>31</v>
      </c>
      <c r="D75" s="68" t="s">
        <v>32</v>
      </c>
      <c r="E75" s="68" t="n">
        <v>2024</v>
      </c>
      <c r="F75" s="68" t="s">
        <v>801</v>
      </c>
      <c r="G75" s="68" t="s">
        <v>863</v>
      </c>
      <c r="H75" s="68" t="n">
        <v>0.38</v>
      </c>
      <c r="I75" s="68" t="n">
        <v>4878</v>
      </c>
      <c r="J75" s="68" t="s">
        <v>944</v>
      </c>
      <c r="K75" s="68" t="s">
        <v>945</v>
      </c>
    </row>
    <row r="76" customFormat="false" ht="14.25" hidden="false" customHeight="true" outlineLevel="0" collapsed="false">
      <c r="A76" s="68" t="s">
        <v>852</v>
      </c>
      <c r="B76" s="68" t="n">
        <v>1354</v>
      </c>
      <c r="C76" s="68" t="s">
        <v>31</v>
      </c>
      <c r="D76" s="68" t="s">
        <v>32</v>
      </c>
      <c r="E76" s="68" t="n">
        <v>2025</v>
      </c>
      <c r="F76" s="68" t="s">
        <v>797</v>
      </c>
      <c r="G76" s="68" t="s">
        <v>61</v>
      </c>
      <c r="H76" s="68" t="n">
        <v>-0.1</v>
      </c>
      <c r="I76" s="68" t="n">
        <v>1544</v>
      </c>
      <c r="J76" s="68" t="s">
        <v>946</v>
      </c>
      <c r="K76" s="68"/>
    </row>
    <row r="77" customFormat="false" ht="14.25" hidden="false" customHeight="true" outlineLevel="0" collapsed="false">
      <c r="A77" s="68" t="s">
        <v>852</v>
      </c>
      <c r="B77" s="68" t="n">
        <v>1355</v>
      </c>
      <c r="C77" s="68" t="s">
        <v>31</v>
      </c>
      <c r="D77" s="68" t="s">
        <v>32</v>
      </c>
      <c r="E77" s="68" t="n">
        <v>2025</v>
      </c>
      <c r="F77" s="68" t="s">
        <v>805</v>
      </c>
      <c r="G77" s="68" t="s">
        <v>863</v>
      </c>
      <c r="H77" s="68" t="n">
        <v>-0.04</v>
      </c>
      <c r="I77" s="68" t="n">
        <v>3344</v>
      </c>
      <c r="J77" s="68" t="s">
        <v>947</v>
      </c>
      <c r="K77" s="68" t="s">
        <v>945</v>
      </c>
    </row>
    <row r="78" customFormat="false" ht="14.25" hidden="false" customHeight="true" outlineLevel="0" collapsed="false">
      <c r="A78" s="68" t="s">
        <v>852</v>
      </c>
      <c r="B78" s="68" t="n">
        <v>1356</v>
      </c>
      <c r="C78" s="68" t="s">
        <v>31</v>
      </c>
      <c r="D78" s="68" t="s">
        <v>32</v>
      </c>
      <c r="E78" s="68" t="n">
        <v>2025</v>
      </c>
      <c r="F78" s="68" t="s">
        <v>798</v>
      </c>
      <c r="G78" s="68" t="s">
        <v>853</v>
      </c>
      <c r="H78" s="68" t="n">
        <v>0.29</v>
      </c>
      <c r="I78" s="68" t="n">
        <v>3560</v>
      </c>
      <c r="J78" s="68" t="s">
        <v>948</v>
      </c>
      <c r="K78" s="68"/>
    </row>
    <row r="79" customFormat="false" ht="14.25" hidden="false" customHeight="true" outlineLevel="0" collapsed="false">
      <c r="A79" s="68" t="s">
        <v>852</v>
      </c>
      <c r="B79" s="68" t="n">
        <v>1357</v>
      </c>
      <c r="C79" s="68" t="s">
        <v>35</v>
      </c>
      <c r="D79" s="68" t="s">
        <v>36</v>
      </c>
      <c r="E79" s="68" t="n">
        <v>2020</v>
      </c>
      <c r="F79" s="68" t="s">
        <v>805</v>
      </c>
      <c r="G79" s="68" t="s">
        <v>853</v>
      </c>
      <c r="H79" s="68" t="n">
        <v>0.29</v>
      </c>
      <c r="I79" s="68" t="n">
        <v>4884</v>
      </c>
      <c r="J79" s="68" t="s">
        <v>949</v>
      </c>
      <c r="K79" s="68"/>
    </row>
    <row r="80" customFormat="false" ht="14.25" hidden="false" customHeight="true" outlineLevel="0" collapsed="false">
      <c r="A80" s="68" t="s">
        <v>852</v>
      </c>
      <c r="B80" s="68" t="n">
        <v>1358</v>
      </c>
      <c r="C80" s="68" t="s">
        <v>35</v>
      </c>
      <c r="D80" s="68" t="s">
        <v>36</v>
      </c>
      <c r="E80" s="68" t="n">
        <v>2020</v>
      </c>
      <c r="F80" s="68" t="s">
        <v>798</v>
      </c>
      <c r="G80" s="68" t="s">
        <v>61</v>
      </c>
      <c r="H80" s="68" t="n">
        <v>0.13</v>
      </c>
      <c r="I80" s="68" t="n">
        <v>4313</v>
      </c>
      <c r="J80" s="68" t="s">
        <v>950</v>
      </c>
      <c r="K80" s="68"/>
    </row>
    <row r="81" customFormat="false" ht="14.25" hidden="false" customHeight="true" outlineLevel="0" collapsed="false">
      <c r="A81" s="68" t="s">
        <v>852</v>
      </c>
      <c r="B81" s="68" t="n">
        <v>1359</v>
      </c>
      <c r="C81" s="68" t="s">
        <v>35</v>
      </c>
      <c r="D81" s="68" t="s">
        <v>36</v>
      </c>
      <c r="E81" s="68" t="n">
        <v>2020</v>
      </c>
      <c r="F81" s="68" t="s">
        <v>801</v>
      </c>
      <c r="G81" s="68" t="s">
        <v>61</v>
      </c>
      <c r="H81" s="68" t="n">
        <v>0.12</v>
      </c>
      <c r="I81" s="68" t="n">
        <v>2793</v>
      </c>
      <c r="J81" s="68" t="s">
        <v>951</v>
      </c>
      <c r="K81" s="68" t="s">
        <v>952</v>
      </c>
    </row>
    <row r="82" customFormat="false" ht="14.25" hidden="false" customHeight="true" outlineLevel="0" collapsed="false">
      <c r="A82" s="68" t="s">
        <v>852</v>
      </c>
      <c r="B82" s="68" t="n">
        <v>1360</v>
      </c>
      <c r="C82" s="68" t="s">
        <v>35</v>
      </c>
      <c r="D82" s="68" t="s">
        <v>36</v>
      </c>
      <c r="E82" s="68" t="n">
        <v>2021</v>
      </c>
      <c r="F82" s="68" t="s">
        <v>797</v>
      </c>
      <c r="G82" s="68" t="s">
        <v>863</v>
      </c>
      <c r="H82" s="68" t="n">
        <v>0.32</v>
      </c>
      <c r="I82" s="68" t="n">
        <v>3308</v>
      </c>
      <c r="J82" s="68" t="s">
        <v>953</v>
      </c>
      <c r="K82" s="68"/>
    </row>
    <row r="83" customFormat="false" ht="14.25" hidden="false" customHeight="true" outlineLevel="0" collapsed="false">
      <c r="A83" s="68" t="s">
        <v>852</v>
      </c>
      <c r="B83" s="68" t="n">
        <v>1361</v>
      </c>
      <c r="C83" s="68" t="s">
        <v>35</v>
      </c>
      <c r="D83" s="68" t="s">
        <v>36</v>
      </c>
      <c r="E83" s="68" t="n">
        <v>2021</v>
      </c>
      <c r="F83" s="68" t="s">
        <v>805</v>
      </c>
      <c r="G83" s="68" t="s">
        <v>863</v>
      </c>
      <c r="H83" s="68" t="n">
        <v>0.17</v>
      </c>
      <c r="I83" s="68" t="n">
        <v>4317</v>
      </c>
      <c r="J83" s="68" t="s">
        <v>954</v>
      </c>
      <c r="K83" s="68"/>
    </row>
    <row r="84" customFormat="false" ht="14.25" hidden="false" customHeight="true" outlineLevel="0" collapsed="false">
      <c r="A84" s="68" t="s">
        <v>852</v>
      </c>
      <c r="B84" s="68" t="n">
        <v>1362</v>
      </c>
      <c r="C84" s="68" t="s">
        <v>35</v>
      </c>
      <c r="D84" s="68" t="s">
        <v>36</v>
      </c>
      <c r="E84" s="68" t="n">
        <v>2021</v>
      </c>
      <c r="F84" s="68" t="s">
        <v>798</v>
      </c>
      <c r="G84" s="68" t="s">
        <v>853</v>
      </c>
      <c r="H84" s="68" t="n">
        <v>-0.06</v>
      </c>
      <c r="I84" s="68" t="n">
        <v>3063</v>
      </c>
      <c r="J84" s="68" t="s">
        <v>955</v>
      </c>
      <c r="K84" s="68" t="s">
        <v>884</v>
      </c>
    </row>
    <row r="85" customFormat="false" ht="14.25" hidden="false" customHeight="true" outlineLevel="0" collapsed="false">
      <c r="A85" s="68" t="s">
        <v>852</v>
      </c>
      <c r="B85" s="68" t="n">
        <v>1363</v>
      </c>
      <c r="C85" s="68" t="s">
        <v>35</v>
      </c>
      <c r="D85" s="68" t="s">
        <v>36</v>
      </c>
      <c r="E85" s="68" t="n">
        <v>2021</v>
      </c>
      <c r="F85" s="68" t="s">
        <v>801</v>
      </c>
      <c r="G85" s="68" t="s">
        <v>61</v>
      </c>
      <c r="H85" s="68" t="n">
        <v>-0.02</v>
      </c>
      <c r="I85" s="68" t="n">
        <v>3585</v>
      </c>
      <c r="J85" s="68" t="s">
        <v>956</v>
      </c>
      <c r="K85" s="68"/>
    </row>
    <row r="86" customFormat="false" ht="14.25" hidden="false" customHeight="true" outlineLevel="0" collapsed="false">
      <c r="A86" s="68" t="s">
        <v>852</v>
      </c>
      <c r="B86" s="68" t="n">
        <v>1364</v>
      </c>
      <c r="C86" s="68" t="s">
        <v>35</v>
      </c>
      <c r="D86" s="68" t="s">
        <v>36</v>
      </c>
      <c r="E86" s="68" t="n">
        <v>2022</v>
      </c>
      <c r="F86" s="68" t="s">
        <v>797</v>
      </c>
      <c r="G86" s="68" t="s">
        <v>863</v>
      </c>
      <c r="H86" s="68" t="n">
        <v>0.19</v>
      </c>
      <c r="I86" s="68" t="n">
        <v>4484</v>
      </c>
      <c r="J86" s="68" t="s">
        <v>957</v>
      </c>
      <c r="K86" s="68"/>
    </row>
    <row r="87" customFormat="false" ht="14.25" hidden="false" customHeight="true" outlineLevel="0" collapsed="false">
      <c r="A87" s="68" t="s">
        <v>852</v>
      </c>
      <c r="B87" s="68" t="n">
        <v>1365</v>
      </c>
      <c r="C87" s="68" t="s">
        <v>35</v>
      </c>
      <c r="D87" s="68" t="s">
        <v>36</v>
      </c>
      <c r="E87" s="68" t="n">
        <v>2022</v>
      </c>
      <c r="F87" s="68" t="s">
        <v>805</v>
      </c>
      <c r="G87" s="68" t="s">
        <v>863</v>
      </c>
      <c r="H87" s="68" t="n">
        <v>0.72</v>
      </c>
      <c r="I87" s="68" t="n">
        <v>4736</v>
      </c>
      <c r="J87" s="68" t="s">
        <v>958</v>
      </c>
      <c r="K87" s="68"/>
    </row>
    <row r="88" customFormat="false" ht="14.25" hidden="false" customHeight="true" outlineLevel="0" collapsed="false">
      <c r="A88" s="68" t="s">
        <v>852</v>
      </c>
      <c r="B88" s="68" t="n">
        <v>1366</v>
      </c>
      <c r="C88" s="68" t="s">
        <v>35</v>
      </c>
      <c r="D88" s="68" t="s">
        <v>36</v>
      </c>
      <c r="E88" s="68" t="n">
        <v>2022</v>
      </c>
      <c r="F88" s="68" t="s">
        <v>798</v>
      </c>
      <c r="G88" s="68" t="s">
        <v>61</v>
      </c>
      <c r="H88" s="68" t="n">
        <v>0.27</v>
      </c>
      <c r="I88" s="68" t="n">
        <v>1247</v>
      </c>
      <c r="J88" s="68" t="s">
        <v>959</v>
      </c>
      <c r="K88" s="68"/>
    </row>
    <row r="89" customFormat="false" ht="14.25" hidden="false" customHeight="true" outlineLevel="0" collapsed="false">
      <c r="A89" s="68" t="s">
        <v>852</v>
      </c>
      <c r="B89" s="68" t="n">
        <v>1367</v>
      </c>
      <c r="C89" s="68" t="s">
        <v>35</v>
      </c>
      <c r="D89" s="68" t="s">
        <v>36</v>
      </c>
      <c r="E89" s="68" t="n">
        <v>2022</v>
      </c>
      <c r="F89" s="68" t="s">
        <v>801</v>
      </c>
      <c r="G89" s="68" t="s">
        <v>863</v>
      </c>
      <c r="H89" s="68" t="n">
        <v>0.51</v>
      </c>
      <c r="I89" s="68" t="n">
        <v>2000</v>
      </c>
      <c r="J89" s="68" t="s">
        <v>960</v>
      </c>
      <c r="K89" s="68"/>
    </row>
    <row r="90" customFormat="false" ht="14.25" hidden="false" customHeight="true" outlineLevel="0" collapsed="false">
      <c r="A90" s="68" t="s">
        <v>852</v>
      </c>
      <c r="B90" s="68" t="n">
        <v>1368</v>
      </c>
      <c r="C90" s="68" t="s">
        <v>35</v>
      </c>
      <c r="D90" s="68" t="s">
        <v>36</v>
      </c>
      <c r="E90" s="68" t="n">
        <v>2023</v>
      </c>
      <c r="F90" s="68" t="s">
        <v>797</v>
      </c>
      <c r="G90" s="68" t="s">
        <v>853</v>
      </c>
      <c r="H90" s="68" t="n">
        <v>-0.31</v>
      </c>
      <c r="I90" s="68" t="n">
        <v>2688</v>
      </c>
      <c r="J90" s="68" t="s">
        <v>961</v>
      </c>
      <c r="K90" s="68"/>
    </row>
    <row r="91" customFormat="false" ht="14.25" hidden="false" customHeight="true" outlineLevel="0" collapsed="false">
      <c r="A91" s="68" t="s">
        <v>852</v>
      </c>
      <c r="B91" s="68" t="n">
        <v>1369</v>
      </c>
      <c r="C91" s="68" t="s">
        <v>35</v>
      </c>
      <c r="D91" s="68" t="s">
        <v>36</v>
      </c>
      <c r="E91" s="68" t="n">
        <v>2023</v>
      </c>
      <c r="F91" s="68" t="s">
        <v>805</v>
      </c>
      <c r="G91" s="68" t="s">
        <v>61</v>
      </c>
      <c r="H91" s="68" t="n">
        <v>0.43</v>
      </c>
      <c r="I91" s="68" t="n">
        <v>2005</v>
      </c>
      <c r="J91" s="68" t="s">
        <v>962</v>
      </c>
      <c r="K91" s="68"/>
    </row>
    <row r="92" customFormat="false" ht="14.25" hidden="false" customHeight="true" outlineLevel="0" collapsed="false">
      <c r="A92" s="68" t="s">
        <v>852</v>
      </c>
      <c r="B92" s="68" t="n">
        <v>1370</v>
      </c>
      <c r="C92" s="68" t="s">
        <v>35</v>
      </c>
      <c r="D92" s="68" t="s">
        <v>36</v>
      </c>
      <c r="E92" s="68" t="n">
        <v>2023</v>
      </c>
      <c r="F92" s="68" t="s">
        <v>798</v>
      </c>
      <c r="G92" s="68" t="s">
        <v>853</v>
      </c>
      <c r="H92" s="68" t="n">
        <v>0.06</v>
      </c>
      <c r="I92" s="68" t="n">
        <v>3197</v>
      </c>
      <c r="J92" s="68" t="s">
        <v>963</v>
      </c>
      <c r="K92" s="68"/>
    </row>
    <row r="93" customFormat="false" ht="14.25" hidden="false" customHeight="true" outlineLevel="0" collapsed="false">
      <c r="A93" s="68" t="s">
        <v>852</v>
      </c>
      <c r="B93" s="68" t="n">
        <v>1371</v>
      </c>
      <c r="C93" s="68" t="s">
        <v>35</v>
      </c>
      <c r="D93" s="68" t="s">
        <v>36</v>
      </c>
      <c r="E93" s="68" t="n">
        <v>2023</v>
      </c>
      <c r="F93" s="68" t="s">
        <v>801</v>
      </c>
      <c r="G93" s="68" t="s">
        <v>863</v>
      </c>
      <c r="H93" s="68" t="n">
        <v>0.14</v>
      </c>
      <c r="I93" s="68" t="n">
        <v>3960</v>
      </c>
      <c r="J93" s="68" t="s">
        <v>964</v>
      </c>
      <c r="K93" s="68" t="s">
        <v>965</v>
      </c>
    </row>
    <row r="94" customFormat="false" ht="14.25" hidden="false" customHeight="true" outlineLevel="0" collapsed="false">
      <c r="A94" s="68" t="s">
        <v>852</v>
      </c>
      <c r="B94" s="68" t="n">
        <v>1372</v>
      </c>
      <c r="C94" s="68" t="s">
        <v>35</v>
      </c>
      <c r="D94" s="68" t="s">
        <v>36</v>
      </c>
      <c r="E94" s="68" t="n">
        <v>2024</v>
      </c>
      <c r="F94" s="68" t="s">
        <v>797</v>
      </c>
      <c r="G94" s="68" t="s">
        <v>853</v>
      </c>
      <c r="H94" s="68" t="n">
        <v>0.27</v>
      </c>
      <c r="I94" s="68" t="n">
        <v>2602</v>
      </c>
      <c r="J94" s="68" t="s">
        <v>966</v>
      </c>
      <c r="K94" s="68"/>
    </row>
    <row r="95" customFormat="false" ht="14.25" hidden="false" customHeight="true" outlineLevel="0" collapsed="false">
      <c r="A95" s="68" t="s">
        <v>852</v>
      </c>
      <c r="B95" s="68" t="n">
        <v>1373</v>
      </c>
      <c r="C95" s="68" t="s">
        <v>35</v>
      </c>
      <c r="D95" s="68" t="s">
        <v>36</v>
      </c>
      <c r="E95" s="68" t="n">
        <v>2024</v>
      </c>
      <c r="F95" s="68" t="s">
        <v>801</v>
      </c>
      <c r="G95" s="68" t="s">
        <v>61</v>
      </c>
      <c r="H95" s="68" t="n">
        <v>0.13</v>
      </c>
      <c r="I95" s="68" t="n">
        <v>3929</v>
      </c>
      <c r="J95" s="68" t="s">
        <v>967</v>
      </c>
      <c r="K95" s="68"/>
    </row>
    <row r="96" customFormat="false" ht="14.25" hidden="false" customHeight="true" outlineLevel="0" collapsed="false">
      <c r="A96" s="68" t="s">
        <v>852</v>
      </c>
      <c r="B96" s="68" t="n">
        <v>1374</v>
      </c>
      <c r="C96" s="68" t="s">
        <v>35</v>
      </c>
      <c r="D96" s="68" t="s">
        <v>36</v>
      </c>
      <c r="E96" s="68" t="n">
        <v>2025</v>
      </c>
      <c r="F96" s="68" t="s">
        <v>797</v>
      </c>
      <c r="G96" s="68" t="s">
        <v>863</v>
      </c>
      <c r="H96" s="68" t="n">
        <v>0.47</v>
      </c>
      <c r="I96" s="68" t="n">
        <v>1440</v>
      </c>
      <c r="J96" s="68" t="s">
        <v>968</v>
      </c>
      <c r="K96" s="68"/>
    </row>
    <row r="97" customFormat="false" ht="14.25" hidden="false" customHeight="true" outlineLevel="0" collapsed="false">
      <c r="A97" s="68" t="s">
        <v>852</v>
      </c>
      <c r="B97" s="68" t="n">
        <v>1375</v>
      </c>
      <c r="C97" s="68" t="s">
        <v>35</v>
      </c>
      <c r="D97" s="68" t="s">
        <v>36</v>
      </c>
      <c r="E97" s="68" t="n">
        <v>2025</v>
      </c>
      <c r="F97" s="68" t="s">
        <v>805</v>
      </c>
      <c r="G97" s="68" t="s">
        <v>863</v>
      </c>
      <c r="H97" s="68" t="n">
        <v>0.5</v>
      </c>
      <c r="I97" s="68" t="n">
        <v>2178</v>
      </c>
      <c r="J97" s="68" t="s">
        <v>969</v>
      </c>
      <c r="K97" s="68"/>
    </row>
    <row r="98" customFormat="false" ht="14.25" hidden="false" customHeight="true" outlineLevel="0" collapsed="false">
      <c r="A98" s="68" t="s">
        <v>852</v>
      </c>
      <c r="B98" s="68" t="n">
        <v>1376</v>
      </c>
      <c r="C98" s="68" t="s">
        <v>35</v>
      </c>
      <c r="D98" s="68" t="s">
        <v>36</v>
      </c>
      <c r="E98" s="68" t="n">
        <v>2025</v>
      </c>
      <c r="F98" s="68" t="s">
        <v>798</v>
      </c>
      <c r="G98" s="68" t="s">
        <v>853</v>
      </c>
      <c r="H98" s="68" t="n">
        <v>0.18</v>
      </c>
      <c r="I98" s="68" t="n">
        <v>322</v>
      </c>
      <c r="J98" s="68" t="s">
        <v>970</v>
      </c>
      <c r="K98" s="68"/>
    </row>
    <row r="99" customFormat="false" ht="14.25" hidden="false" customHeight="true" outlineLevel="0" collapsed="false">
      <c r="A99" s="68" t="s">
        <v>852</v>
      </c>
      <c r="B99" s="68" t="n">
        <v>1377</v>
      </c>
      <c r="C99" s="68" t="s">
        <v>39</v>
      </c>
      <c r="D99" s="68" t="s">
        <v>40</v>
      </c>
      <c r="E99" s="68" t="n">
        <v>2020</v>
      </c>
      <c r="F99" s="68" t="s">
        <v>797</v>
      </c>
      <c r="G99" s="68" t="s">
        <v>863</v>
      </c>
      <c r="H99" s="68" t="n">
        <v>0.07</v>
      </c>
      <c r="I99" s="68" t="n">
        <v>2121</v>
      </c>
      <c r="J99" s="68" t="s">
        <v>971</v>
      </c>
      <c r="K99" s="68"/>
    </row>
    <row r="100" customFormat="false" ht="14.25" hidden="false" customHeight="true" outlineLevel="0" collapsed="false">
      <c r="A100" s="68" t="s">
        <v>852</v>
      </c>
      <c r="B100" s="68" t="n">
        <v>1378</v>
      </c>
      <c r="C100" s="68" t="s">
        <v>39</v>
      </c>
      <c r="D100" s="68" t="s">
        <v>40</v>
      </c>
      <c r="E100" s="68" t="n">
        <v>2020</v>
      </c>
      <c r="F100" s="68" t="s">
        <v>805</v>
      </c>
      <c r="G100" s="68" t="s">
        <v>863</v>
      </c>
      <c r="H100" s="68" t="n">
        <v>0.05</v>
      </c>
      <c r="I100" s="68" t="n">
        <v>2412</v>
      </c>
      <c r="J100" s="68" t="s">
        <v>972</v>
      </c>
      <c r="K100" s="68"/>
    </row>
    <row r="101" customFormat="false" ht="14.25" hidden="false" customHeight="true" outlineLevel="0" collapsed="false">
      <c r="A101" s="68" t="s">
        <v>852</v>
      </c>
      <c r="B101" s="68" t="n">
        <v>1379</v>
      </c>
      <c r="C101" s="68" t="s">
        <v>39</v>
      </c>
      <c r="D101" s="68" t="s">
        <v>40</v>
      </c>
      <c r="E101" s="68" t="n">
        <v>2020</v>
      </c>
      <c r="F101" s="68" t="s">
        <v>798</v>
      </c>
      <c r="G101" s="68" t="s">
        <v>863</v>
      </c>
      <c r="H101" s="68" t="n">
        <v>0.55</v>
      </c>
      <c r="I101" s="68" t="n">
        <v>2321</v>
      </c>
      <c r="J101" s="68" t="s">
        <v>973</v>
      </c>
      <c r="K101" s="68"/>
    </row>
    <row r="102" customFormat="false" ht="14.25" hidden="false" customHeight="true" outlineLevel="0" collapsed="false">
      <c r="A102" s="68" t="s">
        <v>852</v>
      </c>
      <c r="B102" s="68" t="n">
        <v>1380</v>
      </c>
      <c r="C102" s="68" t="s">
        <v>39</v>
      </c>
      <c r="D102" s="68" t="s">
        <v>40</v>
      </c>
      <c r="E102" s="68" t="n">
        <v>2020</v>
      </c>
      <c r="F102" s="68" t="s">
        <v>801</v>
      </c>
      <c r="G102" s="68" t="s">
        <v>863</v>
      </c>
      <c r="H102" s="68" t="n">
        <v>-0.19</v>
      </c>
      <c r="I102" s="68" t="n">
        <v>1039</v>
      </c>
      <c r="J102" s="68" t="s">
        <v>974</v>
      </c>
      <c r="K102" s="68"/>
    </row>
    <row r="103" customFormat="false" ht="14.25" hidden="false" customHeight="true" outlineLevel="0" collapsed="false">
      <c r="A103" s="68" t="s">
        <v>852</v>
      </c>
      <c r="B103" s="68" t="n">
        <v>1381</v>
      </c>
      <c r="C103" s="68" t="s">
        <v>39</v>
      </c>
      <c r="D103" s="68" t="s">
        <v>40</v>
      </c>
      <c r="E103" s="68" t="n">
        <v>2021</v>
      </c>
      <c r="F103" s="68" t="s">
        <v>797</v>
      </c>
      <c r="G103" s="68" t="s">
        <v>853</v>
      </c>
      <c r="H103" s="68" t="n">
        <v>0.09</v>
      </c>
      <c r="I103" s="68" t="n">
        <v>536</v>
      </c>
      <c r="J103" s="68" t="s">
        <v>975</v>
      </c>
      <c r="K103" s="68"/>
    </row>
    <row r="104" customFormat="false" ht="14.25" hidden="false" customHeight="true" outlineLevel="0" collapsed="false">
      <c r="A104" s="68" t="s">
        <v>852</v>
      </c>
      <c r="B104" s="68" t="n">
        <v>1382</v>
      </c>
      <c r="C104" s="68" t="s">
        <v>39</v>
      </c>
      <c r="D104" s="68" t="s">
        <v>40</v>
      </c>
      <c r="E104" s="68" t="n">
        <v>2021</v>
      </c>
      <c r="F104" s="68" t="s">
        <v>805</v>
      </c>
      <c r="G104" s="68" t="s">
        <v>853</v>
      </c>
      <c r="H104" s="68" t="n">
        <v>0.17</v>
      </c>
      <c r="I104" s="68" t="n">
        <v>2971</v>
      </c>
      <c r="J104" s="68" t="s">
        <v>976</v>
      </c>
      <c r="K104" s="68"/>
    </row>
    <row r="105" customFormat="false" ht="14.25" hidden="false" customHeight="true" outlineLevel="0" collapsed="false">
      <c r="A105" s="68" t="s">
        <v>852</v>
      </c>
      <c r="B105" s="68" t="n">
        <v>1383</v>
      </c>
      <c r="C105" s="68" t="s">
        <v>39</v>
      </c>
      <c r="D105" s="68" t="s">
        <v>40</v>
      </c>
      <c r="E105" s="68" t="n">
        <v>2021</v>
      </c>
      <c r="F105" s="68" t="s">
        <v>798</v>
      </c>
      <c r="G105" s="68" t="s">
        <v>863</v>
      </c>
      <c r="H105" s="68" t="n">
        <v>-0.33</v>
      </c>
      <c r="I105" s="68" t="n">
        <v>3484</v>
      </c>
      <c r="J105" s="68" t="s">
        <v>977</v>
      </c>
      <c r="K105" s="68"/>
    </row>
    <row r="106" customFormat="false" ht="14.25" hidden="false" customHeight="true" outlineLevel="0" collapsed="false">
      <c r="A106" s="68" t="s">
        <v>852</v>
      </c>
      <c r="B106" s="68" t="n">
        <v>1384</v>
      </c>
      <c r="C106" s="68" t="s">
        <v>39</v>
      </c>
      <c r="D106" s="68" t="s">
        <v>40</v>
      </c>
      <c r="E106" s="68" t="n">
        <v>2021</v>
      </c>
      <c r="F106" s="68" t="s">
        <v>801</v>
      </c>
      <c r="G106" s="68" t="s">
        <v>853</v>
      </c>
      <c r="H106" s="68" t="n">
        <v>-0.34</v>
      </c>
      <c r="I106" s="68" t="n">
        <v>3155</v>
      </c>
      <c r="J106" s="68" t="s">
        <v>978</v>
      </c>
      <c r="K106" s="68" t="s">
        <v>979</v>
      </c>
    </row>
    <row r="107" customFormat="false" ht="14.25" hidden="false" customHeight="true" outlineLevel="0" collapsed="false">
      <c r="A107" s="68" t="s">
        <v>852</v>
      </c>
      <c r="B107" s="68" t="n">
        <v>1385</v>
      </c>
      <c r="C107" s="68" t="s">
        <v>39</v>
      </c>
      <c r="D107" s="68" t="s">
        <v>40</v>
      </c>
      <c r="E107" s="68" t="n">
        <v>2022</v>
      </c>
      <c r="F107" s="68" t="s">
        <v>797</v>
      </c>
      <c r="G107" s="68" t="s">
        <v>853</v>
      </c>
      <c r="H107" s="68" t="n">
        <v>-0.04</v>
      </c>
      <c r="I107" s="68" t="n">
        <v>1306</v>
      </c>
      <c r="J107" s="68" t="s">
        <v>980</v>
      </c>
      <c r="K107" s="68"/>
    </row>
    <row r="108" customFormat="false" ht="14.25" hidden="false" customHeight="true" outlineLevel="0" collapsed="false">
      <c r="A108" s="68" t="s">
        <v>852</v>
      </c>
      <c r="B108" s="68" t="n">
        <v>1386</v>
      </c>
      <c r="C108" s="68" t="s">
        <v>39</v>
      </c>
      <c r="D108" s="68" t="s">
        <v>40</v>
      </c>
      <c r="E108" s="68" t="n">
        <v>2022</v>
      </c>
      <c r="F108" s="68" t="s">
        <v>805</v>
      </c>
      <c r="G108" s="68" t="s">
        <v>863</v>
      </c>
      <c r="H108" s="68" t="n">
        <v>0.19</v>
      </c>
      <c r="I108" s="68" t="n">
        <v>3569</v>
      </c>
      <c r="J108" s="68" t="s">
        <v>981</v>
      </c>
      <c r="K108" s="68"/>
    </row>
    <row r="109" customFormat="false" ht="14.25" hidden="false" customHeight="true" outlineLevel="0" collapsed="false">
      <c r="A109" s="68" t="s">
        <v>852</v>
      </c>
      <c r="B109" s="68" t="n">
        <v>1387</v>
      </c>
      <c r="C109" s="68" t="s">
        <v>39</v>
      </c>
      <c r="D109" s="68" t="s">
        <v>40</v>
      </c>
      <c r="E109" s="68" t="n">
        <v>2022</v>
      </c>
      <c r="F109" s="68" t="s">
        <v>798</v>
      </c>
      <c r="G109" s="68" t="s">
        <v>863</v>
      </c>
      <c r="H109" s="68" t="n">
        <v>0.42</v>
      </c>
      <c r="I109" s="68" t="n">
        <v>1715</v>
      </c>
      <c r="J109" s="68" t="s">
        <v>982</v>
      </c>
      <c r="K109" s="68"/>
    </row>
    <row r="110" customFormat="false" ht="14.25" hidden="false" customHeight="true" outlineLevel="0" collapsed="false">
      <c r="A110" s="68" t="s">
        <v>852</v>
      </c>
      <c r="B110" s="68" t="n">
        <v>1388</v>
      </c>
      <c r="C110" s="68" t="s">
        <v>39</v>
      </c>
      <c r="D110" s="68" t="s">
        <v>40</v>
      </c>
      <c r="E110" s="68" t="n">
        <v>2022</v>
      </c>
      <c r="F110" s="68" t="s">
        <v>801</v>
      </c>
      <c r="G110" s="68" t="s">
        <v>61</v>
      </c>
      <c r="H110" s="68" t="n">
        <v>0.27</v>
      </c>
      <c r="I110" s="68" t="n">
        <v>259</v>
      </c>
      <c r="J110" s="68" t="s">
        <v>983</v>
      </c>
      <c r="K110" s="68"/>
    </row>
    <row r="111" customFormat="false" ht="14.25" hidden="false" customHeight="true" outlineLevel="0" collapsed="false">
      <c r="A111" s="68" t="s">
        <v>852</v>
      </c>
      <c r="B111" s="68" t="n">
        <v>1389</v>
      </c>
      <c r="C111" s="68" t="s">
        <v>39</v>
      </c>
      <c r="D111" s="68" t="s">
        <v>40</v>
      </c>
      <c r="E111" s="68" t="n">
        <v>2023</v>
      </c>
      <c r="F111" s="68" t="s">
        <v>797</v>
      </c>
      <c r="G111" s="68" t="s">
        <v>61</v>
      </c>
      <c r="H111" s="68" t="n">
        <v>0.69</v>
      </c>
      <c r="I111" s="68" t="n">
        <v>726</v>
      </c>
      <c r="J111" s="68" t="s">
        <v>984</v>
      </c>
      <c r="K111" s="68" t="s">
        <v>888</v>
      </c>
    </row>
    <row r="112" customFormat="false" ht="14.25" hidden="false" customHeight="true" outlineLevel="0" collapsed="false">
      <c r="A112" s="68" t="s">
        <v>852</v>
      </c>
      <c r="B112" s="68" t="n">
        <v>1390</v>
      </c>
      <c r="C112" s="68" t="s">
        <v>39</v>
      </c>
      <c r="D112" s="68" t="s">
        <v>40</v>
      </c>
      <c r="E112" s="68" t="n">
        <v>2023</v>
      </c>
      <c r="F112" s="68" t="s">
        <v>805</v>
      </c>
      <c r="G112" s="68" t="s">
        <v>863</v>
      </c>
      <c r="H112" s="68" t="n">
        <v>0.23</v>
      </c>
      <c r="I112" s="68" t="n">
        <v>2149</v>
      </c>
      <c r="J112" s="68" t="s">
        <v>985</v>
      </c>
      <c r="K112" s="68"/>
    </row>
    <row r="113" customFormat="false" ht="14.25" hidden="false" customHeight="true" outlineLevel="0" collapsed="false">
      <c r="A113" s="68" t="s">
        <v>852</v>
      </c>
      <c r="B113" s="68" t="n">
        <v>1391</v>
      </c>
      <c r="C113" s="68" t="s">
        <v>39</v>
      </c>
      <c r="D113" s="68" t="s">
        <v>40</v>
      </c>
      <c r="E113" s="68" t="n">
        <v>2023</v>
      </c>
      <c r="F113" s="68" t="s">
        <v>798</v>
      </c>
      <c r="G113" s="68" t="s">
        <v>853</v>
      </c>
      <c r="H113" s="68" t="n">
        <v>0.37</v>
      </c>
      <c r="I113" s="68" t="n">
        <v>2308</v>
      </c>
      <c r="J113" s="68" t="s">
        <v>986</v>
      </c>
      <c r="K113" s="68"/>
    </row>
    <row r="114" customFormat="false" ht="14.25" hidden="false" customHeight="true" outlineLevel="0" collapsed="false">
      <c r="A114" s="68" t="s">
        <v>852</v>
      </c>
      <c r="B114" s="68" t="n">
        <v>1392</v>
      </c>
      <c r="C114" s="68" t="s">
        <v>39</v>
      </c>
      <c r="D114" s="68" t="s">
        <v>40</v>
      </c>
      <c r="E114" s="68" t="n">
        <v>2023</v>
      </c>
      <c r="F114" s="68" t="s">
        <v>801</v>
      </c>
      <c r="G114" s="68" t="s">
        <v>853</v>
      </c>
      <c r="H114" s="68" t="n">
        <v>0.56</v>
      </c>
      <c r="I114" s="68" t="n">
        <v>4007</v>
      </c>
      <c r="J114" s="68" t="s">
        <v>987</v>
      </c>
      <c r="K114" s="68"/>
    </row>
    <row r="115" customFormat="false" ht="14.25" hidden="false" customHeight="true" outlineLevel="0" collapsed="false">
      <c r="A115" s="68" t="s">
        <v>852</v>
      </c>
      <c r="B115" s="68" t="n">
        <v>1393</v>
      </c>
      <c r="C115" s="68" t="s">
        <v>39</v>
      </c>
      <c r="D115" s="68" t="s">
        <v>40</v>
      </c>
      <c r="E115" s="68" t="n">
        <v>2024</v>
      </c>
      <c r="F115" s="68" t="s">
        <v>797</v>
      </c>
      <c r="G115" s="68" t="s">
        <v>863</v>
      </c>
      <c r="H115" s="68" t="n">
        <v>0.2</v>
      </c>
      <c r="I115" s="68" t="n">
        <v>2326</v>
      </c>
      <c r="J115" s="68" t="s">
        <v>988</v>
      </c>
      <c r="K115" s="68" t="s">
        <v>869</v>
      </c>
    </row>
    <row r="116" customFormat="false" ht="14.25" hidden="false" customHeight="true" outlineLevel="0" collapsed="false">
      <c r="A116" s="68" t="s">
        <v>852</v>
      </c>
      <c r="B116" s="68" t="n">
        <v>1394</v>
      </c>
      <c r="C116" s="68" t="s">
        <v>39</v>
      </c>
      <c r="D116" s="68" t="s">
        <v>40</v>
      </c>
      <c r="E116" s="68" t="n">
        <v>2024</v>
      </c>
      <c r="F116" s="68" t="s">
        <v>805</v>
      </c>
      <c r="G116" s="68" t="s">
        <v>863</v>
      </c>
      <c r="H116" s="68" t="n">
        <v>0.47</v>
      </c>
      <c r="I116" s="68" t="n">
        <v>4702</v>
      </c>
      <c r="J116" s="68" t="s">
        <v>989</v>
      </c>
      <c r="K116" s="68" t="s">
        <v>935</v>
      </c>
    </row>
    <row r="117" customFormat="false" ht="14.25" hidden="false" customHeight="true" outlineLevel="0" collapsed="false">
      <c r="A117" s="68" t="s">
        <v>852</v>
      </c>
      <c r="B117" s="68" t="n">
        <v>1395</v>
      </c>
      <c r="C117" s="68" t="s">
        <v>39</v>
      </c>
      <c r="D117" s="68" t="s">
        <v>40</v>
      </c>
      <c r="E117" s="68" t="n">
        <v>2024</v>
      </c>
      <c r="F117" s="68" t="s">
        <v>801</v>
      </c>
      <c r="G117" s="68" t="s">
        <v>61</v>
      </c>
      <c r="H117" s="68" t="n">
        <v>0.47</v>
      </c>
      <c r="I117" s="68" t="n">
        <v>1790</v>
      </c>
      <c r="J117" s="68" t="s">
        <v>990</v>
      </c>
      <c r="K117" s="68" t="s">
        <v>878</v>
      </c>
    </row>
    <row r="118" customFormat="false" ht="14.25" hidden="false" customHeight="true" outlineLevel="0" collapsed="false">
      <c r="A118" s="68" t="s">
        <v>852</v>
      </c>
      <c r="B118" s="68" t="n">
        <v>1396</v>
      </c>
      <c r="C118" s="68" t="s">
        <v>39</v>
      </c>
      <c r="D118" s="68" t="s">
        <v>40</v>
      </c>
      <c r="E118" s="68" t="n">
        <v>2025</v>
      </c>
      <c r="F118" s="68" t="s">
        <v>797</v>
      </c>
      <c r="G118" s="68" t="s">
        <v>863</v>
      </c>
      <c r="H118" s="68" t="n">
        <v>0.41</v>
      </c>
      <c r="I118" s="68" t="n">
        <v>983</v>
      </c>
      <c r="J118" s="68" t="s">
        <v>991</v>
      </c>
      <c r="K118" s="68"/>
    </row>
    <row r="119" customFormat="false" ht="14.25" hidden="false" customHeight="true" outlineLevel="0" collapsed="false">
      <c r="A119" s="68" t="s">
        <v>852</v>
      </c>
      <c r="B119" s="68" t="n">
        <v>1397</v>
      </c>
      <c r="C119" s="68" t="s">
        <v>39</v>
      </c>
      <c r="D119" s="68" t="s">
        <v>40</v>
      </c>
      <c r="E119" s="68" t="n">
        <v>2025</v>
      </c>
      <c r="F119" s="68" t="s">
        <v>805</v>
      </c>
      <c r="G119" s="68" t="s">
        <v>61</v>
      </c>
      <c r="H119" s="68" t="n">
        <v>0.15</v>
      </c>
      <c r="I119" s="68" t="n">
        <v>1388</v>
      </c>
      <c r="J119" s="68" t="s">
        <v>992</v>
      </c>
      <c r="K119" s="68"/>
    </row>
    <row r="120" customFormat="false" ht="14.25" hidden="false" customHeight="true" outlineLevel="0" collapsed="false">
      <c r="A120" s="68" t="s">
        <v>852</v>
      </c>
      <c r="B120" s="68" t="n">
        <v>1398</v>
      </c>
      <c r="C120" s="68" t="s">
        <v>42</v>
      </c>
      <c r="D120" s="68" t="s">
        <v>43</v>
      </c>
      <c r="E120" s="68" t="n">
        <v>2020</v>
      </c>
      <c r="F120" s="68" t="s">
        <v>797</v>
      </c>
      <c r="G120" s="68" t="s">
        <v>863</v>
      </c>
      <c r="H120" s="68" t="n">
        <v>0.29</v>
      </c>
      <c r="I120" s="68" t="n">
        <v>945</v>
      </c>
      <c r="J120" s="68" t="s">
        <v>993</v>
      </c>
      <c r="K120" s="68" t="s">
        <v>994</v>
      </c>
    </row>
    <row r="121" customFormat="false" ht="14.25" hidden="false" customHeight="true" outlineLevel="0" collapsed="false">
      <c r="A121" s="68" t="s">
        <v>852</v>
      </c>
      <c r="B121" s="68" t="n">
        <v>1399</v>
      </c>
      <c r="C121" s="68" t="s">
        <v>42</v>
      </c>
      <c r="D121" s="68" t="s">
        <v>43</v>
      </c>
      <c r="E121" s="68" t="n">
        <v>2020</v>
      </c>
      <c r="F121" s="68" t="s">
        <v>801</v>
      </c>
      <c r="G121" s="68" t="s">
        <v>853</v>
      </c>
      <c r="H121" s="68" t="n">
        <v>0.44</v>
      </c>
      <c r="I121" s="68" t="n">
        <v>4397</v>
      </c>
      <c r="J121" s="68" t="s">
        <v>995</v>
      </c>
      <c r="K121" s="68"/>
    </row>
    <row r="122" customFormat="false" ht="14.25" hidden="false" customHeight="true" outlineLevel="0" collapsed="false">
      <c r="A122" s="68" t="s">
        <v>852</v>
      </c>
      <c r="B122" s="68" t="n">
        <v>1400</v>
      </c>
      <c r="C122" s="68" t="s">
        <v>42</v>
      </c>
      <c r="D122" s="68" t="s">
        <v>43</v>
      </c>
      <c r="E122" s="68" t="n">
        <v>2021</v>
      </c>
      <c r="F122" s="68" t="s">
        <v>797</v>
      </c>
      <c r="G122" s="68" t="s">
        <v>863</v>
      </c>
      <c r="H122" s="68" t="n">
        <v>0.56</v>
      </c>
      <c r="I122" s="68" t="n">
        <v>2072</v>
      </c>
      <c r="J122" s="68" t="s">
        <v>996</v>
      </c>
      <c r="K122" s="68"/>
    </row>
    <row r="123" customFormat="false" ht="14.25" hidden="false" customHeight="true" outlineLevel="0" collapsed="false">
      <c r="A123" s="68" t="s">
        <v>852</v>
      </c>
      <c r="B123" s="68" t="n">
        <v>1401</v>
      </c>
      <c r="C123" s="68" t="s">
        <v>42</v>
      </c>
      <c r="D123" s="68" t="s">
        <v>43</v>
      </c>
      <c r="E123" s="68" t="n">
        <v>2021</v>
      </c>
      <c r="F123" s="68" t="s">
        <v>805</v>
      </c>
      <c r="G123" s="68" t="s">
        <v>61</v>
      </c>
      <c r="H123" s="68" t="n">
        <v>0.12</v>
      </c>
      <c r="I123" s="68" t="n">
        <v>1913</v>
      </c>
      <c r="J123" s="68" t="s">
        <v>997</v>
      </c>
      <c r="K123" s="68"/>
    </row>
    <row r="124" customFormat="false" ht="14.25" hidden="false" customHeight="true" outlineLevel="0" collapsed="false">
      <c r="A124" s="68" t="s">
        <v>852</v>
      </c>
      <c r="B124" s="68" t="n">
        <v>1402</v>
      </c>
      <c r="C124" s="68" t="s">
        <v>42</v>
      </c>
      <c r="D124" s="68" t="s">
        <v>43</v>
      </c>
      <c r="E124" s="68" t="n">
        <v>2021</v>
      </c>
      <c r="F124" s="68" t="s">
        <v>798</v>
      </c>
      <c r="G124" s="68" t="s">
        <v>863</v>
      </c>
      <c r="H124" s="68" t="n">
        <v>0.29</v>
      </c>
      <c r="I124" s="68" t="n">
        <v>4855</v>
      </c>
      <c r="J124" s="68" t="s">
        <v>998</v>
      </c>
      <c r="K124" s="68" t="s">
        <v>935</v>
      </c>
    </row>
    <row r="125" customFormat="false" ht="14.25" hidden="false" customHeight="true" outlineLevel="0" collapsed="false">
      <c r="A125" s="68" t="s">
        <v>852</v>
      </c>
      <c r="B125" s="68" t="n">
        <v>1403</v>
      </c>
      <c r="C125" s="68" t="s">
        <v>42</v>
      </c>
      <c r="D125" s="68" t="s">
        <v>43</v>
      </c>
      <c r="E125" s="68" t="n">
        <v>2021</v>
      </c>
      <c r="F125" s="68" t="s">
        <v>801</v>
      </c>
      <c r="G125" s="68" t="s">
        <v>61</v>
      </c>
      <c r="H125" s="68" t="n">
        <v>0.76</v>
      </c>
      <c r="I125" s="68" t="n">
        <v>1296</v>
      </c>
      <c r="J125" s="68" t="s">
        <v>999</v>
      </c>
      <c r="K125" s="68"/>
    </row>
    <row r="126" customFormat="false" ht="14.25" hidden="false" customHeight="true" outlineLevel="0" collapsed="false">
      <c r="A126" s="68" t="s">
        <v>852</v>
      </c>
      <c r="B126" s="68" t="n">
        <v>1404</v>
      </c>
      <c r="C126" s="68" t="s">
        <v>42</v>
      </c>
      <c r="D126" s="68" t="s">
        <v>43</v>
      </c>
      <c r="E126" s="68" t="n">
        <v>2022</v>
      </c>
      <c r="F126" s="68" t="s">
        <v>797</v>
      </c>
      <c r="G126" s="68" t="s">
        <v>863</v>
      </c>
      <c r="H126" s="68" t="n">
        <v>0.11</v>
      </c>
      <c r="I126" s="68" t="n">
        <v>1745</v>
      </c>
      <c r="J126" s="68" t="s">
        <v>1000</v>
      </c>
      <c r="K126" s="68"/>
    </row>
    <row r="127" customFormat="false" ht="14.25" hidden="false" customHeight="true" outlineLevel="0" collapsed="false">
      <c r="A127" s="68" t="s">
        <v>852</v>
      </c>
      <c r="B127" s="68" t="n">
        <v>1405</v>
      </c>
      <c r="C127" s="68" t="s">
        <v>42</v>
      </c>
      <c r="D127" s="68" t="s">
        <v>43</v>
      </c>
      <c r="E127" s="68" t="n">
        <v>2022</v>
      </c>
      <c r="F127" s="68" t="s">
        <v>798</v>
      </c>
      <c r="G127" s="68" t="s">
        <v>863</v>
      </c>
      <c r="H127" s="68" t="n">
        <v>0</v>
      </c>
      <c r="I127" s="68" t="n">
        <v>3995</v>
      </c>
      <c r="J127" s="68" t="s">
        <v>1001</v>
      </c>
      <c r="K127" s="68"/>
    </row>
    <row r="128" customFormat="false" ht="14.25" hidden="false" customHeight="true" outlineLevel="0" collapsed="false">
      <c r="A128" s="68" t="s">
        <v>852</v>
      </c>
      <c r="B128" s="68" t="n">
        <v>1406</v>
      </c>
      <c r="C128" s="68" t="s">
        <v>42</v>
      </c>
      <c r="D128" s="68" t="s">
        <v>43</v>
      </c>
      <c r="E128" s="68" t="n">
        <v>2022</v>
      </c>
      <c r="F128" s="68" t="s">
        <v>801</v>
      </c>
      <c r="G128" s="68" t="s">
        <v>863</v>
      </c>
      <c r="H128" s="68" t="n">
        <v>0.1</v>
      </c>
      <c r="I128" s="68" t="n">
        <v>63</v>
      </c>
      <c r="J128" s="68" t="s">
        <v>1002</v>
      </c>
      <c r="K128" s="68"/>
    </row>
    <row r="129" customFormat="false" ht="14.25" hidden="false" customHeight="true" outlineLevel="0" collapsed="false">
      <c r="A129" s="68" t="s">
        <v>852</v>
      </c>
      <c r="B129" s="68" t="n">
        <v>1407</v>
      </c>
      <c r="C129" s="68" t="s">
        <v>42</v>
      </c>
      <c r="D129" s="68" t="s">
        <v>43</v>
      </c>
      <c r="E129" s="68" t="n">
        <v>2023</v>
      </c>
      <c r="F129" s="68" t="s">
        <v>805</v>
      </c>
      <c r="G129" s="68" t="s">
        <v>863</v>
      </c>
      <c r="H129" s="68" t="n">
        <v>0.15</v>
      </c>
      <c r="I129" s="68" t="n">
        <v>2395</v>
      </c>
      <c r="J129" s="68" t="s">
        <v>1003</v>
      </c>
      <c r="K129" s="68" t="s">
        <v>1004</v>
      </c>
    </row>
    <row r="130" customFormat="false" ht="14.25" hidden="false" customHeight="true" outlineLevel="0" collapsed="false">
      <c r="A130" s="68" t="s">
        <v>852</v>
      </c>
      <c r="B130" s="68" t="n">
        <v>1408</v>
      </c>
      <c r="C130" s="68" t="s">
        <v>42</v>
      </c>
      <c r="D130" s="68" t="s">
        <v>43</v>
      </c>
      <c r="E130" s="68" t="n">
        <v>2023</v>
      </c>
      <c r="F130" s="68" t="s">
        <v>798</v>
      </c>
      <c r="G130" s="68" t="s">
        <v>853</v>
      </c>
      <c r="H130" s="68" t="n">
        <v>-0.4</v>
      </c>
      <c r="I130" s="68" t="n">
        <v>189</v>
      </c>
      <c r="J130" s="68" t="s">
        <v>1005</v>
      </c>
      <c r="K130" s="68" t="s">
        <v>952</v>
      </c>
    </row>
    <row r="131" customFormat="false" ht="14.25" hidden="false" customHeight="true" outlineLevel="0" collapsed="false">
      <c r="A131" s="68" t="s">
        <v>852</v>
      </c>
      <c r="B131" s="68" t="n">
        <v>1409</v>
      </c>
      <c r="C131" s="68" t="s">
        <v>42</v>
      </c>
      <c r="D131" s="68" t="s">
        <v>43</v>
      </c>
      <c r="E131" s="68" t="n">
        <v>2023</v>
      </c>
      <c r="F131" s="68" t="s">
        <v>801</v>
      </c>
      <c r="G131" s="68" t="s">
        <v>61</v>
      </c>
      <c r="H131" s="68" t="n">
        <v>0.43</v>
      </c>
      <c r="I131" s="68" t="n">
        <v>4811</v>
      </c>
      <c r="J131" s="68" t="s">
        <v>1006</v>
      </c>
      <c r="K131" s="68"/>
    </row>
    <row r="132" customFormat="false" ht="14.25" hidden="false" customHeight="true" outlineLevel="0" collapsed="false">
      <c r="A132" s="68" t="s">
        <v>852</v>
      </c>
      <c r="B132" s="68" t="n">
        <v>1410</v>
      </c>
      <c r="C132" s="68" t="s">
        <v>42</v>
      </c>
      <c r="D132" s="68" t="s">
        <v>43</v>
      </c>
      <c r="E132" s="68" t="n">
        <v>2024</v>
      </c>
      <c r="F132" s="68" t="s">
        <v>797</v>
      </c>
      <c r="G132" s="68" t="s">
        <v>61</v>
      </c>
      <c r="H132" s="68" t="n">
        <v>0.36</v>
      </c>
      <c r="I132" s="68" t="n">
        <v>4744</v>
      </c>
      <c r="J132" s="68" t="s">
        <v>1007</v>
      </c>
      <c r="K132" s="68"/>
    </row>
    <row r="133" customFormat="false" ht="14.25" hidden="false" customHeight="true" outlineLevel="0" collapsed="false">
      <c r="A133" s="68" t="s">
        <v>852</v>
      </c>
      <c r="B133" s="68" t="n">
        <v>1411</v>
      </c>
      <c r="C133" s="68" t="s">
        <v>42</v>
      </c>
      <c r="D133" s="68" t="s">
        <v>43</v>
      </c>
      <c r="E133" s="68" t="n">
        <v>2024</v>
      </c>
      <c r="F133" s="68" t="s">
        <v>798</v>
      </c>
      <c r="G133" s="68" t="s">
        <v>61</v>
      </c>
      <c r="H133" s="68" t="n">
        <v>0.3</v>
      </c>
      <c r="I133" s="68" t="n">
        <v>3325</v>
      </c>
      <c r="J133" s="68" t="s">
        <v>1008</v>
      </c>
      <c r="K133" s="68" t="s">
        <v>1009</v>
      </c>
    </row>
    <row r="134" customFormat="false" ht="14.25" hidden="false" customHeight="true" outlineLevel="0" collapsed="false">
      <c r="A134" s="68" t="s">
        <v>852</v>
      </c>
      <c r="B134" s="68" t="n">
        <v>1412</v>
      </c>
      <c r="C134" s="68" t="s">
        <v>42</v>
      </c>
      <c r="D134" s="68" t="s">
        <v>43</v>
      </c>
      <c r="E134" s="68" t="n">
        <v>2025</v>
      </c>
      <c r="F134" s="68" t="s">
        <v>797</v>
      </c>
      <c r="G134" s="68" t="s">
        <v>863</v>
      </c>
      <c r="H134" s="68" t="n">
        <v>0.7</v>
      </c>
      <c r="I134" s="68" t="n">
        <v>2809</v>
      </c>
      <c r="J134" s="68" t="s">
        <v>1010</v>
      </c>
      <c r="K134" s="68"/>
    </row>
    <row r="135" customFormat="false" ht="14.25" hidden="false" customHeight="true" outlineLevel="0" collapsed="false">
      <c r="A135" s="68" t="s">
        <v>852</v>
      </c>
      <c r="B135" s="68" t="n">
        <v>1413</v>
      </c>
      <c r="C135" s="68" t="s">
        <v>42</v>
      </c>
      <c r="D135" s="68" t="s">
        <v>43</v>
      </c>
      <c r="E135" s="68" t="n">
        <v>2025</v>
      </c>
      <c r="F135" s="68" t="s">
        <v>805</v>
      </c>
      <c r="G135" s="68" t="s">
        <v>853</v>
      </c>
      <c r="H135" s="68" t="n">
        <v>0.66</v>
      </c>
      <c r="I135" s="68" t="n">
        <v>1706</v>
      </c>
      <c r="J135" s="68" t="s">
        <v>1011</v>
      </c>
      <c r="K135" s="68"/>
    </row>
    <row r="136" customFormat="false" ht="14.25" hidden="false" customHeight="true" outlineLevel="0" collapsed="false">
      <c r="A136" s="68" t="s">
        <v>852</v>
      </c>
      <c r="B136" s="68" t="n">
        <v>1414</v>
      </c>
      <c r="C136" s="68" t="s">
        <v>46</v>
      </c>
      <c r="D136" s="68" t="s">
        <v>47</v>
      </c>
      <c r="E136" s="68" t="n">
        <v>2020</v>
      </c>
      <c r="F136" s="68" t="s">
        <v>797</v>
      </c>
      <c r="G136" s="68" t="s">
        <v>61</v>
      </c>
      <c r="H136" s="68" t="n">
        <v>0.05</v>
      </c>
      <c r="I136" s="68" t="n">
        <v>1141</v>
      </c>
      <c r="J136" s="68" t="s">
        <v>1012</v>
      </c>
      <c r="K136" s="68"/>
    </row>
    <row r="137" customFormat="false" ht="14.25" hidden="false" customHeight="true" outlineLevel="0" collapsed="false">
      <c r="A137" s="68" t="s">
        <v>852</v>
      </c>
      <c r="B137" s="68" t="n">
        <v>1415</v>
      </c>
      <c r="C137" s="68" t="s">
        <v>46</v>
      </c>
      <c r="D137" s="68" t="s">
        <v>47</v>
      </c>
      <c r="E137" s="68" t="n">
        <v>2020</v>
      </c>
      <c r="F137" s="68" t="s">
        <v>805</v>
      </c>
      <c r="G137" s="68" t="s">
        <v>853</v>
      </c>
      <c r="H137" s="68" t="n">
        <v>0.45</v>
      </c>
      <c r="I137" s="68" t="n">
        <v>4301</v>
      </c>
      <c r="J137" s="68" t="s">
        <v>1013</v>
      </c>
      <c r="K137" s="68"/>
    </row>
    <row r="138" customFormat="false" ht="14.25" hidden="false" customHeight="true" outlineLevel="0" collapsed="false">
      <c r="A138" s="68" t="s">
        <v>852</v>
      </c>
      <c r="B138" s="68" t="n">
        <v>1416</v>
      </c>
      <c r="C138" s="68" t="s">
        <v>46</v>
      </c>
      <c r="D138" s="68" t="s">
        <v>47</v>
      </c>
      <c r="E138" s="68" t="n">
        <v>2020</v>
      </c>
      <c r="F138" s="68" t="s">
        <v>798</v>
      </c>
      <c r="G138" s="68" t="s">
        <v>61</v>
      </c>
      <c r="H138" s="68" t="n">
        <v>0.42</v>
      </c>
      <c r="I138" s="68" t="n">
        <v>4316</v>
      </c>
      <c r="J138" s="68" t="s">
        <v>1014</v>
      </c>
      <c r="K138" s="68"/>
    </row>
    <row r="139" customFormat="false" ht="14.25" hidden="false" customHeight="true" outlineLevel="0" collapsed="false">
      <c r="A139" s="68" t="s">
        <v>852</v>
      </c>
      <c r="B139" s="68" t="n">
        <v>1417</v>
      </c>
      <c r="C139" s="68" t="s">
        <v>46</v>
      </c>
      <c r="D139" s="68" t="s">
        <v>47</v>
      </c>
      <c r="E139" s="68" t="n">
        <v>2021</v>
      </c>
      <c r="F139" s="68" t="s">
        <v>797</v>
      </c>
      <c r="G139" s="68" t="s">
        <v>863</v>
      </c>
      <c r="H139" s="68" t="n">
        <v>0.22</v>
      </c>
      <c r="I139" s="68" t="n">
        <v>1489</v>
      </c>
      <c r="J139" s="68" t="s">
        <v>1015</v>
      </c>
      <c r="K139" s="68"/>
    </row>
    <row r="140" customFormat="false" ht="14.25" hidden="false" customHeight="true" outlineLevel="0" collapsed="false">
      <c r="A140" s="68" t="s">
        <v>852</v>
      </c>
      <c r="B140" s="68" t="n">
        <v>1418</v>
      </c>
      <c r="C140" s="68" t="s">
        <v>46</v>
      </c>
      <c r="D140" s="68" t="s">
        <v>47</v>
      </c>
      <c r="E140" s="68" t="n">
        <v>2021</v>
      </c>
      <c r="F140" s="68" t="s">
        <v>805</v>
      </c>
      <c r="G140" s="68" t="s">
        <v>853</v>
      </c>
      <c r="H140" s="68" t="n">
        <v>0.58</v>
      </c>
      <c r="I140" s="68" t="n">
        <v>4262</v>
      </c>
      <c r="J140" s="68" t="s">
        <v>1016</v>
      </c>
      <c r="K140" s="68"/>
    </row>
    <row r="141" customFormat="false" ht="14.25" hidden="false" customHeight="true" outlineLevel="0" collapsed="false">
      <c r="A141" s="68" t="s">
        <v>852</v>
      </c>
      <c r="B141" s="68" t="n">
        <v>1419</v>
      </c>
      <c r="C141" s="68" t="s">
        <v>46</v>
      </c>
      <c r="D141" s="68" t="s">
        <v>47</v>
      </c>
      <c r="E141" s="68" t="n">
        <v>2021</v>
      </c>
      <c r="F141" s="68" t="s">
        <v>798</v>
      </c>
      <c r="G141" s="68" t="s">
        <v>61</v>
      </c>
      <c r="H141" s="68" t="n">
        <v>0.47</v>
      </c>
      <c r="I141" s="68" t="n">
        <v>2979</v>
      </c>
      <c r="J141" s="68" t="s">
        <v>1017</v>
      </c>
      <c r="K141" s="68"/>
    </row>
    <row r="142" customFormat="false" ht="14.25" hidden="false" customHeight="true" outlineLevel="0" collapsed="false">
      <c r="A142" s="68" t="s">
        <v>852</v>
      </c>
      <c r="B142" s="68" t="n">
        <v>1420</v>
      </c>
      <c r="C142" s="68" t="s">
        <v>46</v>
      </c>
      <c r="D142" s="68" t="s">
        <v>47</v>
      </c>
      <c r="E142" s="68" t="n">
        <v>2022</v>
      </c>
      <c r="F142" s="68" t="s">
        <v>797</v>
      </c>
      <c r="G142" s="68" t="s">
        <v>61</v>
      </c>
      <c r="H142" s="68" t="n">
        <v>0.13</v>
      </c>
      <c r="I142" s="68" t="n">
        <v>954</v>
      </c>
      <c r="J142" s="68" t="s">
        <v>1018</v>
      </c>
      <c r="K142" s="68"/>
    </row>
    <row r="143" customFormat="false" ht="14.25" hidden="false" customHeight="true" outlineLevel="0" collapsed="false">
      <c r="A143" s="68" t="s">
        <v>852</v>
      </c>
      <c r="B143" s="68" t="n">
        <v>1421</v>
      </c>
      <c r="C143" s="68" t="s">
        <v>46</v>
      </c>
      <c r="D143" s="68" t="s">
        <v>47</v>
      </c>
      <c r="E143" s="68" t="n">
        <v>2022</v>
      </c>
      <c r="F143" s="68" t="s">
        <v>805</v>
      </c>
      <c r="G143" s="68" t="s">
        <v>61</v>
      </c>
      <c r="H143" s="68" t="n">
        <v>-0.06</v>
      </c>
      <c r="I143" s="68" t="n">
        <v>2197</v>
      </c>
      <c r="J143" s="68" t="s">
        <v>1019</v>
      </c>
      <c r="K143" s="68" t="s">
        <v>910</v>
      </c>
    </row>
    <row r="144" customFormat="false" ht="14.25" hidden="false" customHeight="true" outlineLevel="0" collapsed="false">
      <c r="A144" s="68" t="s">
        <v>852</v>
      </c>
      <c r="B144" s="68" t="n">
        <v>1422</v>
      </c>
      <c r="C144" s="68" t="s">
        <v>46</v>
      </c>
      <c r="D144" s="68" t="s">
        <v>47</v>
      </c>
      <c r="E144" s="68" t="n">
        <v>2022</v>
      </c>
      <c r="F144" s="68" t="s">
        <v>798</v>
      </c>
      <c r="G144" s="68" t="s">
        <v>61</v>
      </c>
      <c r="H144" s="68" t="n">
        <v>0.23</v>
      </c>
      <c r="I144" s="68" t="n">
        <v>106</v>
      </c>
      <c r="J144" s="68" t="s">
        <v>1020</v>
      </c>
      <c r="K144" s="68" t="s">
        <v>942</v>
      </c>
    </row>
    <row r="145" customFormat="false" ht="14.25" hidden="false" customHeight="true" outlineLevel="0" collapsed="false">
      <c r="A145" s="68" t="s">
        <v>852</v>
      </c>
      <c r="B145" s="68" t="n">
        <v>1423</v>
      </c>
      <c r="C145" s="68" t="s">
        <v>46</v>
      </c>
      <c r="D145" s="68" t="s">
        <v>47</v>
      </c>
      <c r="E145" s="68" t="n">
        <v>2022</v>
      </c>
      <c r="F145" s="68" t="s">
        <v>801</v>
      </c>
      <c r="G145" s="68" t="s">
        <v>863</v>
      </c>
      <c r="H145" s="68" t="n">
        <v>-0.34</v>
      </c>
      <c r="I145" s="68" t="n">
        <v>3048</v>
      </c>
      <c r="J145" s="68" t="s">
        <v>1021</v>
      </c>
      <c r="K145" s="68"/>
    </row>
    <row r="146" customFormat="false" ht="14.25" hidden="false" customHeight="true" outlineLevel="0" collapsed="false">
      <c r="A146" s="68" t="s">
        <v>852</v>
      </c>
      <c r="B146" s="68" t="n">
        <v>1424</v>
      </c>
      <c r="C146" s="68" t="s">
        <v>46</v>
      </c>
      <c r="D146" s="68" t="s">
        <v>47</v>
      </c>
      <c r="E146" s="68" t="n">
        <v>2023</v>
      </c>
      <c r="F146" s="68" t="s">
        <v>797</v>
      </c>
      <c r="G146" s="68" t="s">
        <v>853</v>
      </c>
      <c r="H146" s="68" t="n">
        <v>0.25</v>
      </c>
      <c r="I146" s="68" t="n">
        <v>1409</v>
      </c>
      <c r="J146" s="68" t="s">
        <v>1022</v>
      </c>
      <c r="K146" s="68" t="s">
        <v>1023</v>
      </c>
    </row>
    <row r="147" customFormat="false" ht="14.25" hidden="false" customHeight="true" outlineLevel="0" collapsed="false">
      <c r="A147" s="68" t="s">
        <v>852</v>
      </c>
      <c r="B147" s="68" t="n">
        <v>1425</v>
      </c>
      <c r="C147" s="68" t="s">
        <v>46</v>
      </c>
      <c r="D147" s="68" t="s">
        <v>47</v>
      </c>
      <c r="E147" s="68" t="n">
        <v>2023</v>
      </c>
      <c r="F147" s="68" t="s">
        <v>805</v>
      </c>
      <c r="G147" s="68" t="s">
        <v>863</v>
      </c>
      <c r="H147" s="68" t="n">
        <v>-0.19</v>
      </c>
      <c r="I147" s="68" t="n">
        <v>266</v>
      </c>
      <c r="J147" s="68" t="s">
        <v>1024</v>
      </c>
      <c r="K147" s="68"/>
    </row>
    <row r="148" customFormat="false" ht="14.25" hidden="false" customHeight="true" outlineLevel="0" collapsed="false">
      <c r="A148" s="68" t="s">
        <v>852</v>
      </c>
      <c r="B148" s="68" t="n">
        <v>1426</v>
      </c>
      <c r="C148" s="68" t="s">
        <v>46</v>
      </c>
      <c r="D148" s="68" t="s">
        <v>47</v>
      </c>
      <c r="E148" s="68" t="n">
        <v>2023</v>
      </c>
      <c r="F148" s="68" t="s">
        <v>798</v>
      </c>
      <c r="G148" s="68" t="s">
        <v>853</v>
      </c>
      <c r="H148" s="68" t="n">
        <v>0.03</v>
      </c>
      <c r="I148" s="68" t="n">
        <v>563</v>
      </c>
      <c r="J148" s="68" t="s">
        <v>1025</v>
      </c>
      <c r="K148" s="68" t="s">
        <v>1026</v>
      </c>
    </row>
    <row r="149" customFormat="false" ht="14.25" hidden="false" customHeight="true" outlineLevel="0" collapsed="false">
      <c r="A149" s="68" t="s">
        <v>852</v>
      </c>
      <c r="B149" s="68" t="n">
        <v>1427</v>
      </c>
      <c r="C149" s="68" t="s">
        <v>46</v>
      </c>
      <c r="D149" s="68" t="s">
        <v>47</v>
      </c>
      <c r="E149" s="68" t="n">
        <v>2023</v>
      </c>
      <c r="F149" s="68" t="s">
        <v>801</v>
      </c>
      <c r="G149" s="68" t="s">
        <v>61</v>
      </c>
      <c r="H149" s="68" t="n">
        <v>-0.1</v>
      </c>
      <c r="I149" s="68" t="n">
        <v>4239</v>
      </c>
      <c r="J149" s="68" t="s">
        <v>1027</v>
      </c>
      <c r="K149" s="68" t="s">
        <v>869</v>
      </c>
    </row>
    <row r="150" customFormat="false" ht="14.25" hidden="false" customHeight="true" outlineLevel="0" collapsed="false">
      <c r="A150" s="68" t="s">
        <v>852</v>
      </c>
      <c r="B150" s="68" t="n">
        <v>1428</v>
      </c>
      <c r="C150" s="68" t="s">
        <v>46</v>
      </c>
      <c r="D150" s="68" t="s">
        <v>47</v>
      </c>
      <c r="E150" s="68" t="n">
        <v>2024</v>
      </c>
      <c r="F150" s="68" t="s">
        <v>797</v>
      </c>
      <c r="G150" s="68" t="s">
        <v>853</v>
      </c>
      <c r="H150" s="68" t="n">
        <v>0.17</v>
      </c>
      <c r="I150" s="68" t="n">
        <v>3260</v>
      </c>
      <c r="J150" s="68" t="s">
        <v>1028</v>
      </c>
      <c r="K150" s="68"/>
    </row>
    <row r="151" customFormat="false" ht="14.25" hidden="false" customHeight="true" outlineLevel="0" collapsed="false">
      <c r="A151" s="68" t="s">
        <v>852</v>
      </c>
      <c r="B151" s="68" t="n">
        <v>1429</v>
      </c>
      <c r="C151" s="68" t="s">
        <v>46</v>
      </c>
      <c r="D151" s="68" t="s">
        <v>47</v>
      </c>
      <c r="E151" s="68" t="n">
        <v>2024</v>
      </c>
      <c r="F151" s="68" t="s">
        <v>805</v>
      </c>
      <c r="G151" s="68" t="s">
        <v>853</v>
      </c>
      <c r="H151" s="68" t="n">
        <v>0.57</v>
      </c>
      <c r="I151" s="68" t="n">
        <v>2625</v>
      </c>
      <c r="J151" s="68" t="s">
        <v>1029</v>
      </c>
      <c r="K151" s="68"/>
    </row>
    <row r="152" customFormat="false" ht="14.25" hidden="false" customHeight="true" outlineLevel="0" collapsed="false">
      <c r="A152" s="68" t="s">
        <v>852</v>
      </c>
      <c r="B152" s="68" t="n">
        <v>1430</v>
      </c>
      <c r="C152" s="68" t="s">
        <v>46</v>
      </c>
      <c r="D152" s="68" t="s">
        <v>47</v>
      </c>
      <c r="E152" s="68" t="n">
        <v>2024</v>
      </c>
      <c r="F152" s="68" t="s">
        <v>798</v>
      </c>
      <c r="G152" s="68" t="s">
        <v>863</v>
      </c>
      <c r="H152" s="68" t="n">
        <v>0.19</v>
      </c>
      <c r="I152" s="68" t="n">
        <v>4365</v>
      </c>
      <c r="J152" s="68" t="s">
        <v>1030</v>
      </c>
      <c r="K152" s="68" t="s">
        <v>1031</v>
      </c>
    </row>
    <row r="153" customFormat="false" ht="14.25" hidden="false" customHeight="true" outlineLevel="0" collapsed="false">
      <c r="A153" s="68" t="s">
        <v>852</v>
      </c>
      <c r="B153" s="68" t="n">
        <v>1431</v>
      </c>
      <c r="C153" s="68" t="s">
        <v>46</v>
      </c>
      <c r="D153" s="68" t="s">
        <v>47</v>
      </c>
      <c r="E153" s="68" t="n">
        <v>2024</v>
      </c>
      <c r="F153" s="68" t="s">
        <v>801</v>
      </c>
      <c r="G153" s="68" t="s">
        <v>853</v>
      </c>
      <c r="H153" s="68" t="n">
        <v>0.36</v>
      </c>
      <c r="I153" s="68" t="n">
        <v>1791</v>
      </c>
      <c r="J153" s="68" t="s">
        <v>1032</v>
      </c>
      <c r="K153" s="68" t="s">
        <v>901</v>
      </c>
    </row>
    <row r="154" customFormat="false" ht="14.25" hidden="false" customHeight="true" outlineLevel="0" collapsed="false">
      <c r="A154" s="68" t="s">
        <v>852</v>
      </c>
      <c r="B154" s="68" t="n">
        <v>1432</v>
      </c>
      <c r="C154" s="68" t="s">
        <v>46</v>
      </c>
      <c r="D154" s="68" t="s">
        <v>47</v>
      </c>
      <c r="E154" s="68" t="n">
        <v>2025</v>
      </c>
      <c r="F154" s="68" t="s">
        <v>797</v>
      </c>
      <c r="G154" s="68" t="s">
        <v>863</v>
      </c>
      <c r="H154" s="68" t="n">
        <v>0.03</v>
      </c>
      <c r="I154" s="68" t="n">
        <v>3425</v>
      </c>
      <c r="J154" s="68" t="s">
        <v>1033</v>
      </c>
      <c r="K154" s="68"/>
    </row>
    <row r="155" customFormat="false" ht="14.25" hidden="false" customHeight="true" outlineLevel="0" collapsed="false">
      <c r="A155" s="68" t="s">
        <v>852</v>
      </c>
      <c r="B155" s="68" t="n">
        <v>1433</v>
      </c>
      <c r="C155" s="68" t="s">
        <v>46</v>
      </c>
      <c r="D155" s="68" t="s">
        <v>47</v>
      </c>
      <c r="E155" s="68" t="n">
        <v>2025</v>
      </c>
      <c r="F155" s="68" t="s">
        <v>805</v>
      </c>
      <c r="G155" s="68" t="s">
        <v>61</v>
      </c>
      <c r="H155" s="68" t="n">
        <v>0.56</v>
      </c>
      <c r="I155" s="68" t="n">
        <v>1077</v>
      </c>
      <c r="J155" s="68" t="s">
        <v>1034</v>
      </c>
      <c r="K155" s="68" t="s">
        <v>1026</v>
      </c>
    </row>
    <row r="156" customFormat="false" ht="14.25" hidden="false" customHeight="true" outlineLevel="0" collapsed="false">
      <c r="A156" s="68" t="s">
        <v>852</v>
      </c>
      <c r="B156" s="68" t="n">
        <v>1434</v>
      </c>
      <c r="C156" s="68" t="s">
        <v>46</v>
      </c>
      <c r="D156" s="68" t="s">
        <v>47</v>
      </c>
      <c r="E156" s="68" t="n">
        <v>2025</v>
      </c>
      <c r="F156" s="68" t="s">
        <v>798</v>
      </c>
      <c r="G156" s="68" t="s">
        <v>853</v>
      </c>
      <c r="H156" s="68" t="n">
        <v>0.63</v>
      </c>
      <c r="I156" s="68" t="n">
        <v>952</v>
      </c>
      <c r="J156" s="68" t="s">
        <v>1035</v>
      </c>
      <c r="K156" s="68"/>
    </row>
    <row r="157" customFormat="false" ht="14.25" hidden="false" customHeight="true" outlineLevel="0" collapsed="false">
      <c r="A157" s="68" t="s">
        <v>852</v>
      </c>
      <c r="B157" s="68" t="n">
        <v>1435</v>
      </c>
      <c r="C157" s="68" t="s">
        <v>50</v>
      </c>
      <c r="D157" s="68" t="s">
        <v>51</v>
      </c>
      <c r="E157" s="68" t="n">
        <v>2020</v>
      </c>
      <c r="F157" s="68" t="s">
        <v>805</v>
      </c>
      <c r="G157" s="68" t="s">
        <v>863</v>
      </c>
      <c r="H157" s="68" t="n">
        <v>0.57</v>
      </c>
      <c r="I157" s="68" t="n">
        <v>1522</v>
      </c>
      <c r="J157" s="68" t="s">
        <v>1036</v>
      </c>
      <c r="K157" s="68"/>
    </row>
    <row r="158" customFormat="false" ht="14.25" hidden="false" customHeight="true" outlineLevel="0" collapsed="false">
      <c r="A158" s="68" t="s">
        <v>852</v>
      </c>
      <c r="B158" s="68" t="n">
        <v>1436</v>
      </c>
      <c r="C158" s="68" t="s">
        <v>50</v>
      </c>
      <c r="D158" s="68" t="s">
        <v>51</v>
      </c>
      <c r="E158" s="68" t="n">
        <v>2020</v>
      </c>
      <c r="F158" s="68" t="s">
        <v>798</v>
      </c>
      <c r="G158" s="68" t="s">
        <v>61</v>
      </c>
      <c r="H158" s="68" t="n">
        <v>0.48</v>
      </c>
      <c r="I158" s="68" t="n">
        <v>1691</v>
      </c>
      <c r="J158" s="68" t="s">
        <v>1037</v>
      </c>
      <c r="K158" s="68"/>
    </row>
    <row r="159" customFormat="false" ht="14.25" hidden="false" customHeight="true" outlineLevel="0" collapsed="false">
      <c r="A159" s="68" t="s">
        <v>852</v>
      </c>
      <c r="B159" s="68" t="n">
        <v>1437</v>
      </c>
      <c r="C159" s="68" t="s">
        <v>50</v>
      </c>
      <c r="D159" s="68" t="s">
        <v>51</v>
      </c>
      <c r="E159" s="68" t="n">
        <v>2020</v>
      </c>
      <c r="F159" s="68" t="s">
        <v>801</v>
      </c>
      <c r="G159" s="68" t="s">
        <v>853</v>
      </c>
      <c r="H159" s="68" t="n">
        <v>0.07</v>
      </c>
      <c r="I159" s="68" t="n">
        <v>3366</v>
      </c>
      <c r="J159" s="68" t="s">
        <v>1038</v>
      </c>
      <c r="K159" s="68"/>
    </row>
    <row r="160" customFormat="false" ht="14.25" hidden="false" customHeight="true" outlineLevel="0" collapsed="false">
      <c r="A160" s="68" t="s">
        <v>852</v>
      </c>
      <c r="B160" s="68" t="n">
        <v>1438</v>
      </c>
      <c r="C160" s="68" t="s">
        <v>50</v>
      </c>
      <c r="D160" s="68" t="s">
        <v>51</v>
      </c>
      <c r="E160" s="68" t="n">
        <v>2021</v>
      </c>
      <c r="F160" s="68" t="s">
        <v>797</v>
      </c>
      <c r="G160" s="68" t="s">
        <v>863</v>
      </c>
      <c r="H160" s="68" t="n">
        <v>0.18</v>
      </c>
      <c r="I160" s="68" t="n">
        <v>4711</v>
      </c>
      <c r="J160" s="68" t="s">
        <v>1039</v>
      </c>
      <c r="K160" s="68"/>
    </row>
    <row r="161" customFormat="false" ht="14.25" hidden="false" customHeight="true" outlineLevel="0" collapsed="false">
      <c r="A161" s="68" t="s">
        <v>852</v>
      </c>
      <c r="B161" s="68" t="n">
        <v>1439</v>
      </c>
      <c r="C161" s="68" t="s">
        <v>50</v>
      </c>
      <c r="D161" s="68" t="s">
        <v>51</v>
      </c>
      <c r="E161" s="68" t="n">
        <v>2021</v>
      </c>
      <c r="F161" s="68" t="s">
        <v>805</v>
      </c>
      <c r="G161" s="68" t="s">
        <v>863</v>
      </c>
      <c r="H161" s="68" t="n">
        <v>0.2</v>
      </c>
      <c r="I161" s="68" t="n">
        <v>1029</v>
      </c>
      <c r="J161" s="68" t="s">
        <v>1040</v>
      </c>
      <c r="K161" s="68" t="s">
        <v>869</v>
      </c>
    </row>
    <row r="162" customFormat="false" ht="14.25" hidden="false" customHeight="true" outlineLevel="0" collapsed="false">
      <c r="A162" s="68" t="s">
        <v>852</v>
      </c>
      <c r="B162" s="68" t="n">
        <v>1440</v>
      </c>
      <c r="C162" s="68" t="s">
        <v>50</v>
      </c>
      <c r="D162" s="68" t="s">
        <v>51</v>
      </c>
      <c r="E162" s="68" t="n">
        <v>2021</v>
      </c>
      <c r="F162" s="68" t="s">
        <v>798</v>
      </c>
      <c r="G162" s="68" t="s">
        <v>853</v>
      </c>
      <c r="H162" s="68" t="n">
        <v>0.42</v>
      </c>
      <c r="I162" s="68" t="n">
        <v>1602</v>
      </c>
      <c r="J162" s="68" t="s">
        <v>1041</v>
      </c>
      <c r="K162" s="68" t="s">
        <v>876</v>
      </c>
    </row>
    <row r="163" customFormat="false" ht="14.25" hidden="false" customHeight="true" outlineLevel="0" collapsed="false">
      <c r="A163" s="68" t="s">
        <v>852</v>
      </c>
      <c r="B163" s="68" t="n">
        <v>1441</v>
      </c>
      <c r="C163" s="68" t="s">
        <v>50</v>
      </c>
      <c r="D163" s="68" t="s">
        <v>51</v>
      </c>
      <c r="E163" s="68" t="n">
        <v>2021</v>
      </c>
      <c r="F163" s="68" t="s">
        <v>801</v>
      </c>
      <c r="G163" s="68" t="s">
        <v>863</v>
      </c>
      <c r="H163" s="68" t="n">
        <v>0.2</v>
      </c>
      <c r="I163" s="68" t="n">
        <v>275</v>
      </c>
      <c r="J163" s="68" t="s">
        <v>1042</v>
      </c>
      <c r="K163" s="68" t="s">
        <v>922</v>
      </c>
    </row>
    <row r="164" customFormat="false" ht="14.25" hidden="false" customHeight="true" outlineLevel="0" collapsed="false">
      <c r="A164" s="68" t="s">
        <v>852</v>
      </c>
      <c r="B164" s="68" t="n">
        <v>1442</v>
      </c>
      <c r="C164" s="68" t="s">
        <v>50</v>
      </c>
      <c r="D164" s="68" t="s">
        <v>51</v>
      </c>
      <c r="E164" s="68" t="n">
        <v>2022</v>
      </c>
      <c r="F164" s="68" t="s">
        <v>797</v>
      </c>
      <c r="G164" s="68" t="s">
        <v>61</v>
      </c>
      <c r="H164" s="68" t="n">
        <v>0.23</v>
      </c>
      <c r="I164" s="68" t="n">
        <v>1511</v>
      </c>
      <c r="J164" s="68" t="s">
        <v>1043</v>
      </c>
      <c r="K164" s="68" t="s">
        <v>881</v>
      </c>
    </row>
    <row r="165" customFormat="false" ht="14.25" hidden="false" customHeight="true" outlineLevel="0" collapsed="false">
      <c r="A165" s="68" t="s">
        <v>852</v>
      </c>
      <c r="B165" s="68" t="n">
        <v>1443</v>
      </c>
      <c r="C165" s="68" t="s">
        <v>50</v>
      </c>
      <c r="D165" s="68" t="s">
        <v>51</v>
      </c>
      <c r="E165" s="68" t="n">
        <v>2022</v>
      </c>
      <c r="F165" s="68" t="s">
        <v>805</v>
      </c>
      <c r="G165" s="68" t="s">
        <v>853</v>
      </c>
      <c r="H165" s="68" t="n">
        <v>0.42</v>
      </c>
      <c r="I165" s="68" t="n">
        <v>3192</v>
      </c>
      <c r="J165" s="68" t="s">
        <v>1044</v>
      </c>
      <c r="K165" s="68"/>
    </row>
    <row r="166" customFormat="false" ht="14.25" hidden="false" customHeight="true" outlineLevel="0" collapsed="false">
      <c r="A166" s="68" t="s">
        <v>852</v>
      </c>
      <c r="B166" s="68" t="n">
        <v>1444</v>
      </c>
      <c r="C166" s="68" t="s">
        <v>50</v>
      </c>
      <c r="D166" s="68" t="s">
        <v>51</v>
      </c>
      <c r="E166" s="68" t="n">
        <v>2022</v>
      </c>
      <c r="F166" s="68" t="s">
        <v>801</v>
      </c>
      <c r="G166" s="68" t="s">
        <v>61</v>
      </c>
      <c r="H166" s="68" t="n">
        <v>0.31</v>
      </c>
      <c r="I166" s="68" t="n">
        <v>2628</v>
      </c>
      <c r="J166" s="68" t="s">
        <v>1045</v>
      </c>
      <c r="K166" s="68"/>
    </row>
    <row r="167" customFormat="false" ht="14.25" hidden="false" customHeight="true" outlineLevel="0" collapsed="false">
      <c r="A167" s="68" t="s">
        <v>852</v>
      </c>
      <c r="B167" s="68" t="n">
        <v>1445</v>
      </c>
      <c r="C167" s="68" t="s">
        <v>50</v>
      </c>
      <c r="D167" s="68" t="s">
        <v>51</v>
      </c>
      <c r="E167" s="68" t="n">
        <v>2023</v>
      </c>
      <c r="F167" s="68" t="s">
        <v>797</v>
      </c>
      <c r="G167" s="68" t="s">
        <v>61</v>
      </c>
      <c r="H167" s="68" t="n">
        <v>0.2</v>
      </c>
      <c r="I167" s="68" t="n">
        <v>852</v>
      </c>
      <c r="J167" s="68" t="s">
        <v>1046</v>
      </c>
      <c r="K167" s="68" t="s">
        <v>888</v>
      </c>
    </row>
    <row r="168" customFormat="false" ht="14.25" hidden="false" customHeight="true" outlineLevel="0" collapsed="false">
      <c r="A168" s="68" t="s">
        <v>852</v>
      </c>
      <c r="B168" s="68" t="n">
        <v>1446</v>
      </c>
      <c r="C168" s="68" t="s">
        <v>50</v>
      </c>
      <c r="D168" s="68" t="s">
        <v>51</v>
      </c>
      <c r="E168" s="68" t="n">
        <v>2023</v>
      </c>
      <c r="F168" s="68" t="s">
        <v>805</v>
      </c>
      <c r="G168" s="68" t="s">
        <v>61</v>
      </c>
      <c r="H168" s="68" t="n">
        <v>0.7</v>
      </c>
      <c r="I168" s="68" t="n">
        <v>4647</v>
      </c>
      <c r="J168" s="68" t="s">
        <v>1047</v>
      </c>
      <c r="K168" s="68"/>
    </row>
    <row r="169" customFormat="false" ht="14.25" hidden="false" customHeight="true" outlineLevel="0" collapsed="false">
      <c r="A169" s="68" t="s">
        <v>852</v>
      </c>
      <c r="B169" s="68" t="n">
        <v>1447</v>
      </c>
      <c r="C169" s="68" t="s">
        <v>50</v>
      </c>
      <c r="D169" s="68" t="s">
        <v>51</v>
      </c>
      <c r="E169" s="68" t="n">
        <v>2023</v>
      </c>
      <c r="F169" s="68" t="s">
        <v>798</v>
      </c>
      <c r="G169" s="68" t="s">
        <v>61</v>
      </c>
      <c r="H169" s="68" t="n">
        <v>0.36</v>
      </c>
      <c r="I169" s="68" t="n">
        <v>2244</v>
      </c>
      <c r="J169" s="68" t="s">
        <v>1048</v>
      </c>
      <c r="K169" s="68"/>
    </row>
    <row r="170" customFormat="false" ht="14.25" hidden="false" customHeight="true" outlineLevel="0" collapsed="false">
      <c r="A170" s="68" t="s">
        <v>852</v>
      </c>
      <c r="B170" s="68" t="n">
        <v>1448</v>
      </c>
      <c r="C170" s="68" t="s">
        <v>50</v>
      </c>
      <c r="D170" s="68" t="s">
        <v>51</v>
      </c>
      <c r="E170" s="68" t="n">
        <v>2024</v>
      </c>
      <c r="F170" s="68" t="s">
        <v>797</v>
      </c>
      <c r="G170" s="68" t="s">
        <v>853</v>
      </c>
      <c r="H170" s="68" t="n">
        <v>0.66</v>
      </c>
      <c r="I170" s="68" t="n">
        <v>2810</v>
      </c>
      <c r="J170" s="68" t="s">
        <v>1049</v>
      </c>
      <c r="K170" s="68" t="s">
        <v>878</v>
      </c>
    </row>
    <row r="171" customFormat="false" ht="14.25" hidden="false" customHeight="true" outlineLevel="0" collapsed="false">
      <c r="A171" s="68" t="s">
        <v>852</v>
      </c>
      <c r="B171" s="68" t="n">
        <v>1449</v>
      </c>
      <c r="C171" s="68" t="s">
        <v>50</v>
      </c>
      <c r="D171" s="68" t="s">
        <v>51</v>
      </c>
      <c r="E171" s="68" t="n">
        <v>2024</v>
      </c>
      <c r="F171" s="68" t="s">
        <v>805</v>
      </c>
      <c r="G171" s="68" t="s">
        <v>853</v>
      </c>
      <c r="H171" s="68" t="n">
        <v>0.53</v>
      </c>
      <c r="I171" s="68" t="n">
        <v>2772</v>
      </c>
      <c r="J171" s="68" t="s">
        <v>1050</v>
      </c>
      <c r="K171" s="68"/>
    </row>
    <row r="172" customFormat="false" ht="14.25" hidden="false" customHeight="true" outlineLevel="0" collapsed="false">
      <c r="A172" s="68" t="s">
        <v>852</v>
      </c>
      <c r="B172" s="68" t="n">
        <v>1450</v>
      </c>
      <c r="C172" s="68" t="s">
        <v>50</v>
      </c>
      <c r="D172" s="68" t="s">
        <v>51</v>
      </c>
      <c r="E172" s="68" t="n">
        <v>2024</v>
      </c>
      <c r="F172" s="68" t="s">
        <v>798</v>
      </c>
      <c r="G172" s="68" t="s">
        <v>853</v>
      </c>
      <c r="H172" s="68" t="n">
        <v>0.29</v>
      </c>
      <c r="I172" s="68" t="n">
        <v>1897</v>
      </c>
      <c r="J172" s="68" t="s">
        <v>1051</v>
      </c>
      <c r="K172" s="68"/>
    </row>
    <row r="173" customFormat="false" ht="14.25" hidden="false" customHeight="true" outlineLevel="0" collapsed="false">
      <c r="A173" s="68" t="s">
        <v>852</v>
      </c>
      <c r="B173" s="68" t="n">
        <v>1451</v>
      </c>
      <c r="C173" s="68" t="s">
        <v>50</v>
      </c>
      <c r="D173" s="68" t="s">
        <v>51</v>
      </c>
      <c r="E173" s="68" t="n">
        <v>2024</v>
      </c>
      <c r="F173" s="68" t="s">
        <v>801</v>
      </c>
      <c r="G173" s="68" t="s">
        <v>853</v>
      </c>
      <c r="H173" s="68" t="n">
        <v>0.29</v>
      </c>
      <c r="I173" s="68" t="n">
        <v>1437</v>
      </c>
      <c r="J173" s="68" t="s">
        <v>1052</v>
      </c>
      <c r="K173" s="68" t="s">
        <v>881</v>
      </c>
    </row>
    <row r="174" customFormat="false" ht="14.25" hidden="false" customHeight="true" outlineLevel="0" collapsed="false">
      <c r="A174" s="68" t="s">
        <v>852</v>
      </c>
      <c r="B174" s="68" t="n">
        <v>1452</v>
      </c>
      <c r="C174" s="68" t="s">
        <v>50</v>
      </c>
      <c r="D174" s="68" t="s">
        <v>51</v>
      </c>
      <c r="E174" s="68" t="n">
        <v>2025</v>
      </c>
      <c r="F174" s="68" t="s">
        <v>797</v>
      </c>
      <c r="G174" s="68" t="s">
        <v>853</v>
      </c>
      <c r="H174" s="68" t="n">
        <v>-0.12</v>
      </c>
      <c r="I174" s="68" t="n">
        <v>4762</v>
      </c>
      <c r="J174" s="68" t="s">
        <v>1053</v>
      </c>
      <c r="K174" s="68" t="s">
        <v>869</v>
      </c>
    </row>
    <row r="175" customFormat="false" ht="14.25" hidden="false" customHeight="true" outlineLevel="0" collapsed="false">
      <c r="A175" s="68" t="s">
        <v>852</v>
      </c>
      <c r="B175" s="68" t="n">
        <v>1453</v>
      </c>
      <c r="C175" s="68" t="s">
        <v>50</v>
      </c>
      <c r="D175" s="68" t="s">
        <v>51</v>
      </c>
      <c r="E175" s="68" t="n">
        <v>2025</v>
      </c>
      <c r="F175" s="68" t="s">
        <v>805</v>
      </c>
      <c r="G175" s="68" t="s">
        <v>853</v>
      </c>
      <c r="H175" s="68" t="n">
        <v>-0.11</v>
      </c>
      <c r="I175" s="68" t="n">
        <v>699</v>
      </c>
      <c r="J175" s="68" t="s">
        <v>1054</v>
      </c>
      <c r="K175" s="68"/>
    </row>
    <row r="176" customFormat="false" ht="14.25" hidden="false" customHeight="true" outlineLevel="0" collapsed="false">
      <c r="A176" s="68" t="s">
        <v>852</v>
      </c>
      <c r="B176" s="68" t="n">
        <v>1454</v>
      </c>
      <c r="C176" s="68" t="s">
        <v>50</v>
      </c>
      <c r="D176" s="68" t="s">
        <v>51</v>
      </c>
      <c r="E176" s="68" t="n">
        <v>2025</v>
      </c>
      <c r="F176" s="68" t="s">
        <v>798</v>
      </c>
      <c r="G176" s="68" t="s">
        <v>853</v>
      </c>
      <c r="H176" s="68" t="n">
        <v>0.18</v>
      </c>
      <c r="I176" s="68" t="n">
        <v>3528</v>
      </c>
      <c r="J176" s="68" t="s">
        <v>1055</v>
      </c>
      <c r="K176" s="68"/>
    </row>
    <row r="177" customFormat="false" ht="14.25" hidden="false" customHeight="true" outlineLevel="0" collapsed="false">
      <c r="A177" s="68" t="s">
        <v>852</v>
      </c>
      <c r="B177" s="68" t="n">
        <v>1455</v>
      </c>
      <c r="C177" s="68" t="s">
        <v>53</v>
      </c>
      <c r="D177" s="68" t="s">
        <v>54</v>
      </c>
      <c r="E177" s="68" t="n">
        <v>2020</v>
      </c>
      <c r="F177" s="68" t="s">
        <v>797</v>
      </c>
      <c r="G177" s="68" t="s">
        <v>863</v>
      </c>
      <c r="H177" s="68" t="n">
        <v>0.09</v>
      </c>
      <c r="I177" s="68" t="n">
        <v>996</v>
      </c>
      <c r="J177" s="68" t="s">
        <v>1056</v>
      </c>
      <c r="K177" s="68"/>
    </row>
    <row r="178" customFormat="false" ht="14.25" hidden="false" customHeight="true" outlineLevel="0" collapsed="false">
      <c r="A178" s="68" t="s">
        <v>852</v>
      </c>
      <c r="B178" s="68" t="n">
        <v>1456</v>
      </c>
      <c r="C178" s="68" t="s">
        <v>53</v>
      </c>
      <c r="D178" s="68" t="s">
        <v>54</v>
      </c>
      <c r="E178" s="68" t="n">
        <v>2020</v>
      </c>
      <c r="F178" s="68" t="s">
        <v>805</v>
      </c>
      <c r="G178" s="68" t="s">
        <v>863</v>
      </c>
      <c r="H178" s="68" t="n">
        <v>0.9</v>
      </c>
      <c r="I178" s="68" t="n">
        <v>226</v>
      </c>
      <c r="J178" s="68" t="s">
        <v>1057</v>
      </c>
      <c r="K178" s="68"/>
    </row>
    <row r="179" customFormat="false" ht="14.25" hidden="false" customHeight="true" outlineLevel="0" collapsed="false">
      <c r="A179" s="68" t="s">
        <v>852</v>
      </c>
      <c r="B179" s="68" t="n">
        <v>1457</v>
      </c>
      <c r="C179" s="68" t="s">
        <v>53</v>
      </c>
      <c r="D179" s="68" t="s">
        <v>54</v>
      </c>
      <c r="E179" s="68" t="n">
        <v>2020</v>
      </c>
      <c r="F179" s="68" t="s">
        <v>801</v>
      </c>
      <c r="G179" s="68" t="s">
        <v>853</v>
      </c>
      <c r="H179" s="68" t="n">
        <v>-0.07</v>
      </c>
      <c r="I179" s="68" t="n">
        <v>1376</v>
      </c>
      <c r="J179" s="68" t="s">
        <v>1058</v>
      </c>
      <c r="K179" s="68"/>
    </row>
    <row r="180" customFormat="false" ht="14.25" hidden="false" customHeight="true" outlineLevel="0" collapsed="false">
      <c r="A180" s="68" t="s">
        <v>852</v>
      </c>
      <c r="B180" s="68" t="n">
        <v>1458</v>
      </c>
      <c r="C180" s="68" t="s">
        <v>53</v>
      </c>
      <c r="D180" s="68" t="s">
        <v>54</v>
      </c>
      <c r="E180" s="68" t="n">
        <v>2021</v>
      </c>
      <c r="F180" s="68" t="s">
        <v>797</v>
      </c>
      <c r="G180" s="68" t="s">
        <v>863</v>
      </c>
      <c r="H180" s="68" t="n">
        <v>0.28</v>
      </c>
      <c r="I180" s="68" t="n">
        <v>2472</v>
      </c>
      <c r="J180" s="68" t="s">
        <v>1059</v>
      </c>
      <c r="K180" s="68"/>
    </row>
    <row r="181" customFormat="false" ht="14.25" hidden="false" customHeight="true" outlineLevel="0" collapsed="false">
      <c r="A181" s="68" t="s">
        <v>852</v>
      </c>
      <c r="B181" s="68" t="n">
        <v>1459</v>
      </c>
      <c r="C181" s="68" t="s">
        <v>53</v>
      </c>
      <c r="D181" s="68" t="s">
        <v>54</v>
      </c>
      <c r="E181" s="68" t="n">
        <v>2021</v>
      </c>
      <c r="F181" s="68" t="s">
        <v>805</v>
      </c>
      <c r="G181" s="68" t="s">
        <v>863</v>
      </c>
      <c r="H181" s="68" t="n">
        <v>0.46</v>
      </c>
      <c r="I181" s="68" t="n">
        <v>369</v>
      </c>
      <c r="J181" s="68" t="s">
        <v>1060</v>
      </c>
      <c r="K181" s="68" t="s">
        <v>910</v>
      </c>
    </row>
    <row r="182" customFormat="false" ht="14.25" hidden="false" customHeight="true" outlineLevel="0" collapsed="false">
      <c r="A182" s="68" t="s">
        <v>852</v>
      </c>
      <c r="B182" s="68" t="n">
        <v>1460</v>
      </c>
      <c r="C182" s="68" t="s">
        <v>53</v>
      </c>
      <c r="D182" s="68" t="s">
        <v>54</v>
      </c>
      <c r="E182" s="68" t="n">
        <v>2021</v>
      </c>
      <c r="F182" s="68" t="s">
        <v>798</v>
      </c>
      <c r="G182" s="68" t="s">
        <v>61</v>
      </c>
      <c r="H182" s="68" t="n">
        <v>-0.08</v>
      </c>
      <c r="I182" s="68" t="n">
        <v>4708</v>
      </c>
      <c r="J182" s="68" t="s">
        <v>1061</v>
      </c>
      <c r="K182" s="68" t="s">
        <v>876</v>
      </c>
    </row>
    <row r="183" customFormat="false" ht="14.25" hidden="false" customHeight="true" outlineLevel="0" collapsed="false">
      <c r="A183" s="68" t="s">
        <v>852</v>
      </c>
      <c r="B183" s="68" t="n">
        <v>1461</v>
      </c>
      <c r="C183" s="68" t="s">
        <v>53</v>
      </c>
      <c r="D183" s="68" t="s">
        <v>54</v>
      </c>
      <c r="E183" s="68" t="n">
        <v>2021</v>
      </c>
      <c r="F183" s="68" t="s">
        <v>801</v>
      </c>
      <c r="G183" s="68" t="s">
        <v>61</v>
      </c>
      <c r="H183" s="68" t="n">
        <v>0.16</v>
      </c>
      <c r="I183" s="68" t="n">
        <v>4243</v>
      </c>
      <c r="J183" s="68" t="s">
        <v>1062</v>
      </c>
      <c r="K183" s="68" t="s">
        <v>922</v>
      </c>
    </row>
    <row r="184" customFormat="false" ht="14.25" hidden="false" customHeight="true" outlineLevel="0" collapsed="false">
      <c r="A184" s="68" t="s">
        <v>852</v>
      </c>
      <c r="B184" s="68" t="n">
        <v>1462</v>
      </c>
      <c r="C184" s="68" t="s">
        <v>53</v>
      </c>
      <c r="D184" s="68" t="s">
        <v>54</v>
      </c>
      <c r="E184" s="68" t="n">
        <v>2022</v>
      </c>
      <c r="F184" s="68" t="s">
        <v>797</v>
      </c>
      <c r="G184" s="68" t="s">
        <v>863</v>
      </c>
      <c r="H184" s="68" t="n">
        <v>0.46</v>
      </c>
      <c r="I184" s="68" t="n">
        <v>1178</v>
      </c>
      <c r="J184" s="68" t="s">
        <v>1063</v>
      </c>
      <c r="K184" s="68" t="s">
        <v>910</v>
      </c>
    </row>
    <row r="185" customFormat="false" ht="14.25" hidden="false" customHeight="true" outlineLevel="0" collapsed="false">
      <c r="A185" s="68" t="s">
        <v>852</v>
      </c>
      <c r="B185" s="68" t="n">
        <v>1463</v>
      </c>
      <c r="C185" s="68" t="s">
        <v>53</v>
      </c>
      <c r="D185" s="68" t="s">
        <v>54</v>
      </c>
      <c r="E185" s="68" t="n">
        <v>2022</v>
      </c>
      <c r="F185" s="68" t="s">
        <v>805</v>
      </c>
      <c r="G185" s="68" t="s">
        <v>61</v>
      </c>
      <c r="H185" s="68" t="n">
        <v>0.27</v>
      </c>
      <c r="I185" s="68" t="n">
        <v>192</v>
      </c>
      <c r="J185" s="68" t="s">
        <v>1064</v>
      </c>
      <c r="K185" s="68"/>
    </row>
    <row r="186" customFormat="false" ht="14.25" hidden="false" customHeight="true" outlineLevel="0" collapsed="false">
      <c r="A186" s="68" t="s">
        <v>852</v>
      </c>
      <c r="B186" s="68" t="n">
        <v>1464</v>
      </c>
      <c r="C186" s="68" t="s">
        <v>53</v>
      </c>
      <c r="D186" s="68" t="s">
        <v>54</v>
      </c>
      <c r="E186" s="68" t="n">
        <v>2022</v>
      </c>
      <c r="F186" s="68" t="s">
        <v>798</v>
      </c>
      <c r="G186" s="68" t="s">
        <v>61</v>
      </c>
      <c r="H186" s="68" t="n">
        <v>0.3</v>
      </c>
      <c r="I186" s="68" t="n">
        <v>2441</v>
      </c>
      <c r="J186" s="68" t="s">
        <v>1065</v>
      </c>
      <c r="K186" s="68"/>
    </row>
    <row r="187" customFormat="false" ht="14.25" hidden="false" customHeight="true" outlineLevel="0" collapsed="false">
      <c r="A187" s="68" t="s">
        <v>852</v>
      </c>
      <c r="B187" s="68" t="n">
        <v>1465</v>
      </c>
      <c r="C187" s="68" t="s">
        <v>53</v>
      </c>
      <c r="D187" s="68" t="s">
        <v>54</v>
      </c>
      <c r="E187" s="68" t="n">
        <v>2023</v>
      </c>
      <c r="F187" s="68" t="s">
        <v>797</v>
      </c>
      <c r="G187" s="68" t="s">
        <v>61</v>
      </c>
      <c r="H187" s="68" t="n">
        <v>0.6</v>
      </c>
      <c r="I187" s="68" t="n">
        <v>1129</v>
      </c>
      <c r="J187" s="68" t="s">
        <v>1066</v>
      </c>
      <c r="K187" s="68"/>
    </row>
    <row r="188" customFormat="false" ht="14.25" hidden="false" customHeight="true" outlineLevel="0" collapsed="false">
      <c r="A188" s="68" t="s">
        <v>852</v>
      </c>
      <c r="B188" s="68" t="n">
        <v>1466</v>
      </c>
      <c r="C188" s="68" t="s">
        <v>53</v>
      </c>
      <c r="D188" s="68" t="s">
        <v>54</v>
      </c>
      <c r="E188" s="68" t="n">
        <v>2023</v>
      </c>
      <c r="F188" s="68" t="s">
        <v>805</v>
      </c>
      <c r="G188" s="68" t="s">
        <v>61</v>
      </c>
      <c r="H188" s="68" t="n">
        <v>0.34</v>
      </c>
      <c r="I188" s="68" t="n">
        <v>4731</v>
      </c>
      <c r="J188" s="68" t="s">
        <v>1067</v>
      </c>
      <c r="K188" s="68"/>
    </row>
    <row r="189" customFormat="false" ht="14.25" hidden="false" customHeight="true" outlineLevel="0" collapsed="false">
      <c r="A189" s="68" t="s">
        <v>852</v>
      </c>
      <c r="B189" s="68" t="n">
        <v>1467</v>
      </c>
      <c r="C189" s="68" t="s">
        <v>53</v>
      </c>
      <c r="D189" s="68" t="s">
        <v>54</v>
      </c>
      <c r="E189" s="68" t="n">
        <v>2023</v>
      </c>
      <c r="F189" s="68" t="s">
        <v>798</v>
      </c>
      <c r="G189" s="68" t="s">
        <v>863</v>
      </c>
      <c r="H189" s="68" t="n">
        <v>-0.15</v>
      </c>
      <c r="I189" s="68" t="n">
        <v>2176</v>
      </c>
      <c r="J189" s="68" t="s">
        <v>1068</v>
      </c>
      <c r="K189" s="68" t="s">
        <v>861</v>
      </c>
    </row>
    <row r="190" customFormat="false" ht="14.25" hidden="false" customHeight="true" outlineLevel="0" collapsed="false">
      <c r="A190" s="68" t="s">
        <v>852</v>
      </c>
      <c r="B190" s="68" t="n">
        <v>1468</v>
      </c>
      <c r="C190" s="68" t="s">
        <v>53</v>
      </c>
      <c r="D190" s="68" t="s">
        <v>54</v>
      </c>
      <c r="E190" s="68" t="n">
        <v>2023</v>
      </c>
      <c r="F190" s="68" t="s">
        <v>801</v>
      </c>
      <c r="G190" s="68" t="s">
        <v>853</v>
      </c>
      <c r="H190" s="68" t="n">
        <v>0.43</v>
      </c>
      <c r="I190" s="68" t="n">
        <v>1618</v>
      </c>
      <c r="J190" s="68" t="s">
        <v>1069</v>
      </c>
      <c r="K190" s="68" t="s">
        <v>869</v>
      </c>
    </row>
    <row r="191" customFormat="false" ht="14.25" hidden="false" customHeight="true" outlineLevel="0" collapsed="false">
      <c r="A191" s="68" t="s">
        <v>852</v>
      </c>
      <c r="B191" s="68" t="n">
        <v>1469</v>
      </c>
      <c r="C191" s="68" t="s">
        <v>53</v>
      </c>
      <c r="D191" s="68" t="s">
        <v>54</v>
      </c>
      <c r="E191" s="68" t="n">
        <v>2024</v>
      </c>
      <c r="F191" s="68" t="s">
        <v>797</v>
      </c>
      <c r="G191" s="68" t="s">
        <v>863</v>
      </c>
      <c r="H191" s="68" t="n">
        <v>0.37</v>
      </c>
      <c r="I191" s="68" t="n">
        <v>1779</v>
      </c>
      <c r="J191" s="68" t="s">
        <v>1070</v>
      </c>
      <c r="K191" s="68"/>
    </row>
    <row r="192" customFormat="false" ht="14.25" hidden="false" customHeight="true" outlineLevel="0" collapsed="false">
      <c r="A192" s="68" t="s">
        <v>852</v>
      </c>
      <c r="B192" s="68" t="n">
        <v>1470</v>
      </c>
      <c r="C192" s="68" t="s">
        <v>53</v>
      </c>
      <c r="D192" s="68" t="s">
        <v>54</v>
      </c>
      <c r="E192" s="68" t="n">
        <v>2025</v>
      </c>
      <c r="F192" s="68" t="s">
        <v>797</v>
      </c>
      <c r="G192" s="68" t="s">
        <v>61</v>
      </c>
      <c r="H192" s="68" t="n">
        <v>-0.08</v>
      </c>
      <c r="I192" s="68" t="n">
        <v>3787</v>
      </c>
      <c r="J192" s="68" t="s">
        <v>1071</v>
      </c>
      <c r="K192" s="68"/>
    </row>
    <row r="193" customFormat="false" ht="14.25" hidden="false" customHeight="true" outlineLevel="0" collapsed="false">
      <c r="A193" s="68" t="s">
        <v>852</v>
      </c>
      <c r="B193" s="68" t="n">
        <v>1471</v>
      </c>
      <c r="C193" s="68" t="s">
        <v>53</v>
      </c>
      <c r="D193" s="68" t="s">
        <v>54</v>
      </c>
      <c r="E193" s="68" t="n">
        <v>2025</v>
      </c>
      <c r="F193" s="68" t="s">
        <v>798</v>
      </c>
      <c r="G193" s="68" t="s">
        <v>853</v>
      </c>
      <c r="H193" s="68" t="n">
        <v>0.32</v>
      </c>
      <c r="I193" s="68" t="n">
        <v>4979</v>
      </c>
      <c r="J193" s="68" t="s">
        <v>1072</v>
      </c>
      <c r="K193" s="68" t="s">
        <v>901</v>
      </c>
    </row>
    <row r="194" customFormat="false" ht="14.25" hidden="false" customHeight="true" outlineLevel="0" collapsed="false">
      <c r="A194" s="68" t="s">
        <v>852</v>
      </c>
      <c r="B194" s="68" t="n">
        <v>1472</v>
      </c>
      <c r="C194" s="68" t="s">
        <v>55</v>
      </c>
      <c r="D194" s="68" t="s">
        <v>56</v>
      </c>
      <c r="E194" s="68" t="n">
        <v>2020</v>
      </c>
      <c r="F194" s="68" t="s">
        <v>797</v>
      </c>
      <c r="G194" s="68" t="s">
        <v>61</v>
      </c>
      <c r="H194" s="68" t="n">
        <v>0.13</v>
      </c>
      <c r="I194" s="68" t="n">
        <v>4538</v>
      </c>
      <c r="J194" s="68" t="s">
        <v>1073</v>
      </c>
      <c r="K194" s="68"/>
    </row>
    <row r="195" customFormat="false" ht="14.25" hidden="false" customHeight="true" outlineLevel="0" collapsed="false">
      <c r="A195" s="68" t="s">
        <v>852</v>
      </c>
      <c r="B195" s="68" t="n">
        <v>1473</v>
      </c>
      <c r="C195" s="68" t="s">
        <v>55</v>
      </c>
      <c r="D195" s="68" t="s">
        <v>56</v>
      </c>
      <c r="E195" s="68" t="n">
        <v>2020</v>
      </c>
      <c r="F195" s="68" t="s">
        <v>805</v>
      </c>
      <c r="G195" s="68" t="s">
        <v>853</v>
      </c>
      <c r="H195" s="68" t="n">
        <v>0.71</v>
      </c>
      <c r="I195" s="68" t="n">
        <v>3755</v>
      </c>
      <c r="J195" s="68" t="s">
        <v>1074</v>
      </c>
      <c r="K195" s="68"/>
    </row>
    <row r="196" customFormat="false" ht="14.25" hidden="false" customHeight="true" outlineLevel="0" collapsed="false">
      <c r="A196" s="68" t="s">
        <v>852</v>
      </c>
      <c r="B196" s="68" t="n">
        <v>1474</v>
      </c>
      <c r="C196" s="68" t="s">
        <v>55</v>
      </c>
      <c r="D196" s="68" t="s">
        <v>56</v>
      </c>
      <c r="E196" s="68" t="n">
        <v>2020</v>
      </c>
      <c r="F196" s="68" t="s">
        <v>798</v>
      </c>
      <c r="G196" s="68" t="s">
        <v>61</v>
      </c>
      <c r="H196" s="68" t="n">
        <v>0.16</v>
      </c>
      <c r="I196" s="68" t="n">
        <v>1285</v>
      </c>
      <c r="J196" s="68" t="s">
        <v>1075</v>
      </c>
      <c r="K196" s="68" t="s">
        <v>994</v>
      </c>
    </row>
    <row r="197" customFormat="false" ht="14.25" hidden="false" customHeight="true" outlineLevel="0" collapsed="false">
      <c r="A197" s="68" t="s">
        <v>852</v>
      </c>
      <c r="B197" s="68" t="n">
        <v>1475</v>
      </c>
      <c r="C197" s="68" t="s">
        <v>55</v>
      </c>
      <c r="D197" s="68" t="s">
        <v>56</v>
      </c>
      <c r="E197" s="68" t="n">
        <v>2020</v>
      </c>
      <c r="F197" s="68" t="s">
        <v>801</v>
      </c>
      <c r="G197" s="68" t="s">
        <v>61</v>
      </c>
      <c r="H197" s="68" t="n">
        <v>0.52</v>
      </c>
      <c r="I197" s="68" t="n">
        <v>2021</v>
      </c>
      <c r="J197" s="68" t="s">
        <v>1076</v>
      </c>
      <c r="K197" s="68"/>
    </row>
    <row r="198" customFormat="false" ht="14.25" hidden="false" customHeight="true" outlineLevel="0" collapsed="false">
      <c r="A198" s="68" t="s">
        <v>852</v>
      </c>
      <c r="B198" s="68" t="n">
        <v>1476</v>
      </c>
      <c r="C198" s="68" t="s">
        <v>55</v>
      </c>
      <c r="D198" s="68" t="s">
        <v>56</v>
      </c>
      <c r="E198" s="68" t="n">
        <v>2021</v>
      </c>
      <c r="F198" s="68" t="s">
        <v>797</v>
      </c>
      <c r="G198" s="68" t="s">
        <v>853</v>
      </c>
      <c r="H198" s="68" t="n">
        <v>0.26</v>
      </c>
      <c r="I198" s="68" t="n">
        <v>1457</v>
      </c>
      <c r="J198" s="68" t="s">
        <v>1077</v>
      </c>
      <c r="K198" s="68"/>
    </row>
    <row r="199" customFormat="false" ht="14.25" hidden="false" customHeight="true" outlineLevel="0" collapsed="false">
      <c r="A199" s="68" t="s">
        <v>852</v>
      </c>
      <c r="B199" s="68" t="n">
        <v>1477</v>
      </c>
      <c r="C199" s="68" t="s">
        <v>55</v>
      </c>
      <c r="D199" s="68" t="s">
        <v>56</v>
      </c>
      <c r="E199" s="68" t="n">
        <v>2021</v>
      </c>
      <c r="F199" s="68" t="s">
        <v>798</v>
      </c>
      <c r="G199" s="68" t="s">
        <v>61</v>
      </c>
      <c r="H199" s="68" t="n">
        <v>0.1</v>
      </c>
      <c r="I199" s="68" t="n">
        <v>4049</v>
      </c>
      <c r="J199" s="68" t="s">
        <v>1078</v>
      </c>
      <c r="K199" s="68" t="s">
        <v>1079</v>
      </c>
    </row>
    <row r="200" customFormat="false" ht="14.25" hidden="false" customHeight="true" outlineLevel="0" collapsed="false">
      <c r="A200" s="68" t="s">
        <v>852</v>
      </c>
      <c r="B200" s="68" t="n">
        <v>1478</v>
      </c>
      <c r="C200" s="68" t="s">
        <v>55</v>
      </c>
      <c r="D200" s="68" t="s">
        <v>56</v>
      </c>
      <c r="E200" s="68" t="n">
        <v>2022</v>
      </c>
      <c r="F200" s="68" t="s">
        <v>797</v>
      </c>
      <c r="G200" s="68" t="s">
        <v>853</v>
      </c>
      <c r="H200" s="68" t="n">
        <v>0.46</v>
      </c>
      <c r="I200" s="68" t="n">
        <v>4740</v>
      </c>
      <c r="J200" s="68" t="s">
        <v>1080</v>
      </c>
      <c r="K200" s="68"/>
    </row>
    <row r="201" customFormat="false" ht="14.25" hidden="false" customHeight="true" outlineLevel="0" collapsed="false">
      <c r="A201" s="68" t="s">
        <v>852</v>
      </c>
      <c r="B201" s="68" t="n">
        <v>1479</v>
      </c>
      <c r="C201" s="68" t="s">
        <v>55</v>
      </c>
      <c r="D201" s="68" t="s">
        <v>56</v>
      </c>
      <c r="E201" s="68" t="n">
        <v>2022</v>
      </c>
      <c r="F201" s="68" t="s">
        <v>805</v>
      </c>
      <c r="G201" s="68" t="s">
        <v>863</v>
      </c>
      <c r="H201" s="68" t="n">
        <v>0.26</v>
      </c>
      <c r="I201" s="68" t="n">
        <v>73</v>
      </c>
      <c r="J201" s="68" t="s">
        <v>1081</v>
      </c>
      <c r="K201" s="68"/>
    </row>
    <row r="202" customFormat="false" ht="14.25" hidden="false" customHeight="true" outlineLevel="0" collapsed="false">
      <c r="A202" s="68" t="s">
        <v>852</v>
      </c>
      <c r="B202" s="68" t="n">
        <v>1480</v>
      </c>
      <c r="C202" s="68" t="s">
        <v>55</v>
      </c>
      <c r="D202" s="68" t="s">
        <v>56</v>
      </c>
      <c r="E202" s="68" t="n">
        <v>2022</v>
      </c>
      <c r="F202" s="68" t="s">
        <v>798</v>
      </c>
      <c r="G202" s="68" t="s">
        <v>853</v>
      </c>
      <c r="H202" s="68" t="n">
        <v>0.43</v>
      </c>
      <c r="I202" s="68" t="n">
        <v>1595</v>
      </c>
      <c r="J202" s="68" t="s">
        <v>1082</v>
      </c>
      <c r="K202" s="68" t="s">
        <v>952</v>
      </c>
    </row>
    <row r="203" customFormat="false" ht="14.25" hidden="false" customHeight="true" outlineLevel="0" collapsed="false">
      <c r="A203" s="68" t="s">
        <v>852</v>
      </c>
      <c r="B203" s="68" t="n">
        <v>1481</v>
      </c>
      <c r="C203" s="68" t="s">
        <v>55</v>
      </c>
      <c r="D203" s="68" t="s">
        <v>56</v>
      </c>
      <c r="E203" s="68" t="n">
        <v>2023</v>
      </c>
      <c r="F203" s="68" t="s">
        <v>797</v>
      </c>
      <c r="G203" s="68" t="s">
        <v>863</v>
      </c>
      <c r="H203" s="68" t="n">
        <v>0.45</v>
      </c>
      <c r="I203" s="68" t="n">
        <v>2601</v>
      </c>
      <c r="J203" s="68" t="s">
        <v>1083</v>
      </c>
      <c r="K203" s="68"/>
    </row>
    <row r="204" customFormat="false" ht="14.25" hidden="false" customHeight="true" outlineLevel="0" collapsed="false">
      <c r="A204" s="68" t="s">
        <v>852</v>
      </c>
      <c r="B204" s="68" t="n">
        <v>1482</v>
      </c>
      <c r="C204" s="68" t="s">
        <v>55</v>
      </c>
      <c r="D204" s="68" t="s">
        <v>56</v>
      </c>
      <c r="E204" s="68" t="n">
        <v>2023</v>
      </c>
      <c r="F204" s="68" t="s">
        <v>805</v>
      </c>
      <c r="G204" s="68" t="s">
        <v>61</v>
      </c>
      <c r="H204" s="68" t="n">
        <v>0.07</v>
      </c>
      <c r="I204" s="68" t="n">
        <v>3408</v>
      </c>
      <c r="J204" s="68" t="s">
        <v>1084</v>
      </c>
      <c r="K204" s="68"/>
    </row>
    <row r="205" customFormat="false" ht="14.25" hidden="false" customHeight="true" outlineLevel="0" collapsed="false">
      <c r="A205" s="68" t="s">
        <v>852</v>
      </c>
      <c r="B205" s="68" t="n">
        <v>1483</v>
      </c>
      <c r="C205" s="68" t="s">
        <v>55</v>
      </c>
      <c r="D205" s="68" t="s">
        <v>56</v>
      </c>
      <c r="E205" s="68" t="n">
        <v>2023</v>
      </c>
      <c r="F205" s="68" t="s">
        <v>798</v>
      </c>
      <c r="G205" s="68" t="s">
        <v>61</v>
      </c>
      <c r="H205" s="68" t="n">
        <v>0.07</v>
      </c>
      <c r="I205" s="68" t="n">
        <v>2740</v>
      </c>
      <c r="J205" s="68" t="s">
        <v>1085</v>
      </c>
      <c r="K205" s="68" t="s">
        <v>878</v>
      </c>
    </row>
    <row r="206" customFormat="false" ht="14.25" hidden="false" customHeight="true" outlineLevel="0" collapsed="false">
      <c r="A206" s="68" t="s">
        <v>852</v>
      </c>
      <c r="B206" s="68" t="n">
        <v>1484</v>
      </c>
      <c r="C206" s="68" t="s">
        <v>55</v>
      </c>
      <c r="D206" s="68" t="s">
        <v>56</v>
      </c>
      <c r="E206" s="68" t="n">
        <v>2023</v>
      </c>
      <c r="F206" s="68" t="s">
        <v>801</v>
      </c>
      <c r="G206" s="68" t="s">
        <v>853</v>
      </c>
      <c r="H206" s="68" t="n">
        <v>0</v>
      </c>
      <c r="I206" s="68" t="n">
        <v>129</v>
      </c>
      <c r="J206" s="68" t="s">
        <v>1086</v>
      </c>
      <c r="K206" s="68"/>
    </row>
    <row r="207" customFormat="false" ht="14.25" hidden="false" customHeight="true" outlineLevel="0" collapsed="false">
      <c r="A207" s="68" t="s">
        <v>852</v>
      </c>
      <c r="B207" s="68" t="n">
        <v>1485</v>
      </c>
      <c r="C207" s="68" t="s">
        <v>55</v>
      </c>
      <c r="D207" s="68" t="s">
        <v>56</v>
      </c>
      <c r="E207" s="68" t="n">
        <v>2024</v>
      </c>
      <c r="F207" s="68" t="s">
        <v>797</v>
      </c>
      <c r="G207" s="68" t="s">
        <v>61</v>
      </c>
      <c r="H207" s="68" t="n">
        <v>0.06</v>
      </c>
      <c r="I207" s="68" t="n">
        <v>3341</v>
      </c>
      <c r="J207" s="68" t="s">
        <v>1087</v>
      </c>
      <c r="K207" s="68" t="s">
        <v>935</v>
      </c>
    </row>
    <row r="208" customFormat="false" ht="14.25" hidden="false" customHeight="true" outlineLevel="0" collapsed="false">
      <c r="A208" s="68" t="s">
        <v>852</v>
      </c>
      <c r="B208" s="68" t="n">
        <v>1486</v>
      </c>
      <c r="C208" s="68" t="s">
        <v>55</v>
      </c>
      <c r="D208" s="68" t="s">
        <v>56</v>
      </c>
      <c r="E208" s="68" t="n">
        <v>2024</v>
      </c>
      <c r="F208" s="68" t="s">
        <v>798</v>
      </c>
      <c r="G208" s="68" t="s">
        <v>863</v>
      </c>
      <c r="H208" s="68" t="n">
        <v>-0.02</v>
      </c>
      <c r="I208" s="68" t="n">
        <v>3373</v>
      </c>
      <c r="J208" s="68" t="s">
        <v>1088</v>
      </c>
      <c r="K208" s="68" t="s">
        <v>881</v>
      </c>
    </row>
    <row r="209" customFormat="false" ht="14.25" hidden="false" customHeight="true" outlineLevel="0" collapsed="false">
      <c r="A209" s="68" t="s">
        <v>852</v>
      </c>
      <c r="B209" s="68" t="n">
        <v>1487</v>
      </c>
      <c r="C209" s="68" t="s">
        <v>55</v>
      </c>
      <c r="D209" s="68" t="s">
        <v>56</v>
      </c>
      <c r="E209" s="68" t="n">
        <v>2024</v>
      </c>
      <c r="F209" s="68" t="s">
        <v>801</v>
      </c>
      <c r="G209" s="68" t="s">
        <v>853</v>
      </c>
      <c r="H209" s="68" t="n">
        <v>0.48</v>
      </c>
      <c r="I209" s="68" t="n">
        <v>2192</v>
      </c>
      <c r="J209" s="68" t="s">
        <v>1089</v>
      </c>
      <c r="K209" s="68"/>
    </row>
    <row r="210" customFormat="false" ht="14.25" hidden="false" customHeight="true" outlineLevel="0" collapsed="false">
      <c r="A210" s="68" t="s">
        <v>852</v>
      </c>
      <c r="B210" s="68" t="n">
        <v>1488</v>
      </c>
      <c r="C210" s="68" t="s">
        <v>55</v>
      </c>
      <c r="D210" s="68" t="s">
        <v>56</v>
      </c>
      <c r="E210" s="68" t="n">
        <v>2025</v>
      </c>
      <c r="F210" s="68" t="s">
        <v>797</v>
      </c>
      <c r="G210" s="68" t="s">
        <v>853</v>
      </c>
      <c r="H210" s="68" t="n">
        <v>0.19</v>
      </c>
      <c r="I210" s="68" t="n">
        <v>3539</v>
      </c>
      <c r="J210" s="68" t="s">
        <v>1090</v>
      </c>
      <c r="K210" s="68"/>
    </row>
    <row r="211" customFormat="false" ht="14.25" hidden="false" customHeight="true" outlineLevel="0" collapsed="false">
      <c r="A211" s="68" t="s">
        <v>852</v>
      </c>
      <c r="B211" s="68" t="n">
        <v>1489</v>
      </c>
      <c r="C211" s="68" t="s">
        <v>55</v>
      </c>
      <c r="D211" s="68" t="s">
        <v>56</v>
      </c>
      <c r="E211" s="68" t="n">
        <v>2025</v>
      </c>
      <c r="F211" s="68" t="s">
        <v>805</v>
      </c>
      <c r="G211" s="68" t="s">
        <v>61</v>
      </c>
      <c r="H211" s="68" t="n">
        <v>-0.14</v>
      </c>
      <c r="I211" s="68" t="n">
        <v>4337</v>
      </c>
      <c r="J211" s="68" t="s">
        <v>1091</v>
      </c>
      <c r="K211" s="68"/>
    </row>
    <row r="212" customFormat="false" ht="14.25" hidden="false" customHeight="true" outlineLevel="0" collapsed="false">
      <c r="A212" s="68" t="s">
        <v>852</v>
      </c>
      <c r="B212" s="68" t="n">
        <v>1490</v>
      </c>
      <c r="C212" s="68" t="s">
        <v>55</v>
      </c>
      <c r="D212" s="68" t="s">
        <v>56</v>
      </c>
      <c r="E212" s="68" t="n">
        <v>2025</v>
      </c>
      <c r="F212" s="68" t="s">
        <v>798</v>
      </c>
      <c r="G212" s="68" t="s">
        <v>853</v>
      </c>
      <c r="H212" s="68" t="n">
        <v>-0.07</v>
      </c>
      <c r="I212" s="68" t="n">
        <v>4694</v>
      </c>
      <c r="J212" s="68" t="s">
        <v>1092</v>
      </c>
      <c r="K212" s="68"/>
    </row>
    <row r="213" customFormat="false" ht="14.25" hidden="false" customHeight="true" outlineLevel="0" collapsed="false">
      <c r="A213" s="68" t="s">
        <v>852</v>
      </c>
      <c r="B213" s="68" t="n">
        <v>1491</v>
      </c>
      <c r="C213" s="68" t="s">
        <v>57</v>
      </c>
      <c r="D213" s="68" t="s">
        <v>58</v>
      </c>
      <c r="E213" s="68" t="n">
        <v>2020</v>
      </c>
      <c r="F213" s="68" t="s">
        <v>797</v>
      </c>
      <c r="G213" s="68" t="s">
        <v>853</v>
      </c>
      <c r="H213" s="68" t="n">
        <v>0.85</v>
      </c>
      <c r="I213" s="68" t="n">
        <v>2725</v>
      </c>
      <c r="J213" s="68" t="s">
        <v>1093</v>
      </c>
      <c r="K213" s="68" t="s">
        <v>1094</v>
      </c>
    </row>
    <row r="214" customFormat="false" ht="14.25" hidden="false" customHeight="true" outlineLevel="0" collapsed="false">
      <c r="A214" s="68" t="s">
        <v>852</v>
      </c>
      <c r="B214" s="68" t="n">
        <v>1492</v>
      </c>
      <c r="C214" s="68" t="s">
        <v>57</v>
      </c>
      <c r="D214" s="68" t="s">
        <v>58</v>
      </c>
      <c r="E214" s="68" t="n">
        <v>2020</v>
      </c>
      <c r="F214" s="68" t="s">
        <v>805</v>
      </c>
      <c r="G214" s="68" t="s">
        <v>863</v>
      </c>
      <c r="H214" s="68" t="n">
        <v>-0.09</v>
      </c>
      <c r="I214" s="68" t="n">
        <v>1758</v>
      </c>
      <c r="J214" s="68" t="s">
        <v>1095</v>
      </c>
      <c r="K214" s="68"/>
    </row>
    <row r="215" customFormat="false" ht="14.25" hidden="false" customHeight="true" outlineLevel="0" collapsed="false">
      <c r="A215" s="68" t="s">
        <v>852</v>
      </c>
      <c r="B215" s="68" t="n">
        <v>1493</v>
      </c>
      <c r="C215" s="68" t="s">
        <v>57</v>
      </c>
      <c r="D215" s="68" t="s">
        <v>58</v>
      </c>
      <c r="E215" s="68" t="n">
        <v>2020</v>
      </c>
      <c r="F215" s="68" t="s">
        <v>801</v>
      </c>
      <c r="G215" s="68" t="s">
        <v>61</v>
      </c>
      <c r="H215" s="68" t="n">
        <v>-0.02</v>
      </c>
      <c r="I215" s="68" t="n">
        <v>4105</v>
      </c>
      <c r="J215" s="68" t="s">
        <v>1096</v>
      </c>
      <c r="K215" s="68" t="s">
        <v>1097</v>
      </c>
    </row>
    <row r="216" customFormat="false" ht="14.25" hidden="false" customHeight="true" outlineLevel="0" collapsed="false">
      <c r="A216" s="68" t="s">
        <v>852</v>
      </c>
      <c r="B216" s="68" t="n">
        <v>1494</v>
      </c>
      <c r="C216" s="68" t="s">
        <v>57</v>
      </c>
      <c r="D216" s="68" t="s">
        <v>58</v>
      </c>
      <c r="E216" s="68" t="n">
        <v>2021</v>
      </c>
      <c r="F216" s="68" t="s">
        <v>797</v>
      </c>
      <c r="G216" s="68" t="s">
        <v>863</v>
      </c>
      <c r="H216" s="68" t="n">
        <v>0.27</v>
      </c>
      <c r="I216" s="68" t="n">
        <v>1392</v>
      </c>
      <c r="J216" s="68" t="s">
        <v>1098</v>
      </c>
      <c r="K216" s="68" t="s">
        <v>1099</v>
      </c>
    </row>
    <row r="217" customFormat="false" ht="14.25" hidden="false" customHeight="true" outlineLevel="0" collapsed="false">
      <c r="A217" s="68" t="s">
        <v>852</v>
      </c>
      <c r="B217" s="68" t="n">
        <v>1495</v>
      </c>
      <c r="C217" s="68" t="s">
        <v>57</v>
      </c>
      <c r="D217" s="68" t="s">
        <v>58</v>
      </c>
      <c r="E217" s="68" t="n">
        <v>2021</v>
      </c>
      <c r="F217" s="68" t="s">
        <v>805</v>
      </c>
      <c r="G217" s="68" t="s">
        <v>853</v>
      </c>
      <c r="H217" s="68" t="n">
        <v>0.41</v>
      </c>
      <c r="I217" s="68" t="n">
        <v>941</v>
      </c>
      <c r="J217" s="68" t="s">
        <v>1100</v>
      </c>
      <c r="K217" s="68" t="s">
        <v>935</v>
      </c>
    </row>
    <row r="218" customFormat="false" ht="14.25" hidden="false" customHeight="true" outlineLevel="0" collapsed="false">
      <c r="A218" s="68" t="s">
        <v>852</v>
      </c>
      <c r="B218" s="68" t="n">
        <v>1496</v>
      </c>
      <c r="C218" s="68" t="s">
        <v>57</v>
      </c>
      <c r="D218" s="68" t="s">
        <v>58</v>
      </c>
      <c r="E218" s="68" t="n">
        <v>2021</v>
      </c>
      <c r="F218" s="68" t="s">
        <v>801</v>
      </c>
      <c r="G218" s="68" t="s">
        <v>863</v>
      </c>
      <c r="H218" s="68" t="n">
        <v>0.3</v>
      </c>
      <c r="I218" s="68" t="n">
        <v>1182</v>
      </c>
      <c r="J218" s="68" t="s">
        <v>1101</v>
      </c>
      <c r="K218" s="68"/>
    </row>
    <row r="219" customFormat="false" ht="14.25" hidden="false" customHeight="true" outlineLevel="0" collapsed="false">
      <c r="A219" s="68" t="s">
        <v>852</v>
      </c>
      <c r="B219" s="68" t="n">
        <v>1497</v>
      </c>
      <c r="C219" s="68" t="s">
        <v>57</v>
      </c>
      <c r="D219" s="68" t="s">
        <v>58</v>
      </c>
      <c r="E219" s="68" t="n">
        <v>2022</v>
      </c>
      <c r="F219" s="68" t="s">
        <v>797</v>
      </c>
      <c r="G219" s="68" t="s">
        <v>61</v>
      </c>
      <c r="H219" s="68" t="n">
        <v>0.12</v>
      </c>
      <c r="I219" s="68" t="n">
        <v>2523</v>
      </c>
      <c r="J219" s="68" t="s">
        <v>1102</v>
      </c>
      <c r="K219" s="68"/>
    </row>
    <row r="220" customFormat="false" ht="14.25" hidden="false" customHeight="true" outlineLevel="0" collapsed="false">
      <c r="A220" s="68" t="s">
        <v>852</v>
      </c>
      <c r="B220" s="68" t="n">
        <v>1498</v>
      </c>
      <c r="C220" s="68" t="s">
        <v>57</v>
      </c>
      <c r="D220" s="68" t="s">
        <v>58</v>
      </c>
      <c r="E220" s="68" t="n">
        <v>2022</v>
      </c>
      <c r="F220" s="68" t="s">
        <v>805</v>
      </c>
      <c r="G220" s="68" t="s">
        <v>853</v>
      </c>
      <c r="H220" s="68" t="n">
        <v>0.44</v>
      </c>
      <c r="I220" s="68" t="n">
        <v>2032</v>
      </c>
      <c r="J220" s="68" t="s">
        <v>1103</v>
      </c>
      <c r="K220" s="68"/>
    </row>
    <row r="221" customFormat="false" ht="14.25" hidden="false" customHeight="true" outlineLevel="0" collapsed="false">
      <c r="A221" s="68" t="s">
        <v>852</v>
      </c>
      <c r="B221" s="68" t="n">
        <v>1499</v>
      </c>
      <c r="C221" s="68" t="s">
        <v>57</v>
      </c>
      <c r="D221" s="68" t="s">
        <v>58</v>
      </c>
      <c r="E221" s="68" t="n">
        <v>2022</v>
      </c>
      <c r="F221" s="68" t="s">
        <v>798</v>
      </c>
      <c r="G221" s="68" t="s">
        <v>863</v>
      </c>
      <c r="H221" s="68" t="n">
        <v>0.21</v>
      </c>
      <c r="I221" s="68" t="n">
        <v>2629</v>
      </c>
      <c r="J221" s="68" t="s">
        <v>1104</v>
      </c>
      <c r="K221" s="68"/>
    </row>
    <row r="222" customFormat="false" ht="14.25" hidden="false" customHeight="true" outlineLevel="0" collapsed="false">
      <c r="A222" s="68" t="s">
        <v>852</v>
      </c>
      <c r="B222" s="68" t="n">
        <v>1500</v>
      </c>
      <c r="C222" s="68" t="s">
        <v>57</v>
      </c>
      <c r="D222" s="68" t="s">
        <v>58</v>
      </c>
      <c r="E222" s="68" t="n">
        <v>2023</v>
      </c>
      <c r="F222" s="68" t="s">
        <v>797</v>
      </c>
      <c r="G222" s="68" t="s">
        <v>853</v>
      </c>
      <c r="H222" s="68" t="n">
        <v>0.01</v>
      </c>
      <c r="I222" s="68" t="n">
        <v>4350</v>
      </c>
      <c r="J222" s="68" t="s">
        <v>1105</v>
      </c>
      <c r="K222" s="68"/>
    </row>
    <row r="223" customFormat="false" ht="14.25" hidden="false" customHeight="true" outlineLevel="0" collapsed="false">
      <c r="A223" s="68" t="s">
        <v>852</v>
      </c>
      <c r="B223" s="68" t="n">
        <v>1501</v>
      </c>
      <c r="C223" s="68" t="s">
        <v>57</v>
      </c>
      <c r="D223" s="68" t="s">
        <v>58</v>
      </c>
      <c r="E223" s="68" t="n">
        <v>2023</v>
      </c>
      <c r="F223" s="68" t="s">
        <v>798</v>
      </c>
      <c r="G223" s="68" t="s">
        <v>61</v>
      </c>
      <c r="H223" s="68" t="n">
        <v>-0.04</v>
      </c>
      <c r="I223" s="68" t="n">
        <v>2055</v>
      </c>
      <c r="J223" s="68" t="s">
        <v>1106</v>
      </c>
      <c r="K223" s="68"/>
    </row>
    <row r="224" customFormat="false" ht="14.25" hidden="false" customHeight="true" outlineLevel="0" collapsed="false">
      <c r="A224" s="68" t="s">
        <v>852</v>
      </c>
      <c r="B224" s="68" t="n">
        <v>1502</v>
      </c>
      <c r="C224" s="68" t="s">
        <v>57</v>
      </c>
      <c r="D224" s="68" t="s">
        <v>58</v>
      </c>
      <c r="E224" s="68" t="n">
        <v>2023</v>
      </c>
      <c r="F224" s="68" t="s">
        <v>801</v>
      </c>
      <c r="G224" s="68" t="s">
        <v>863</v>
      </c>
      <c r="H224" s="68" t="n">
        <v>0.76</v>
      </c>
      <c r="I224" s="68" t="n">
        <v>1833</v>
      </c>
      <c r="J224" s="68" t="s">
        <v>1107</v>
      </c>
      <c r="K224" s="68"/>
    </row>
    <row r="225" customFormat="false" ht="14.25" hidden="false" customHeight="true" outlineLevel="0" collapsed="false">
      <c r="A225" s="68" t="s">
        <v>852</v>
      </c>
      <c r="B225" s="68" t="n">
        <v>1503</v>
      </c>
      <c r="C225" s="68" t="s">
        <v>57</v>
      </c>
      <c r="D225" s="68" t="s">
        <v>58</v>
      </c>
      <c r="E225" s="68" t="n">
        <v>2024</v>
      </c>
      <c r="F225" s="68" t="s">
        <v>797</v>
      </c>
      <c r="G225" s="68" t="s">
        <v>61</v>
      </c>
      <c r="H225" s="68" t="n">
        <v>0.06</v>
      </c>
      <c r="I225" s="68" t="n">
        <v>3372</v>
      </c>
      <c r="J225" s="68" t="s">
        <v>1108</v>
      </c>
      <c r="K225" s="68" t="s">
        <v>935</v>
      </c>
    </row>
    <row r="226" customFormat="false" ht="14.25" hidden="false" customHeight="true" outlineLevel="0" collapsed="false">
      <c r="A226" s="68" t="s">
        <v>852</v>
      </c>
      <c r="B226" s="68" t="n">
        <v>1504</v>
      </c>
      <c r="C226" s="68" t="s">
        <v>57</v>
      </c>
      <c r="D226" s="68" t="s">
        <v>58</v>
      </c>
      <c r="E226" s="68" t="n">
        <v>2024</v>
      </c>
      <c r="F226" s="68" t="s">
        <v>805</v>
      </c>
      <c r="G226" s="68" t="s">
        <v>61</v>
      </c>
      <c r="H226" s="68" t="n">
        <v>0.09</v>
      </c>
      <c r="I226" s="68" t="n">
        <v>2839</v>
      </c>
      <c r="J226" s="68" t="s">
        <v>1109</v>
      </c>
      <c r="K226" s="68"/>
    </row>
    <row r="227" customFormat="false" ht="14.25" hidden="false" customHeight="true" outlineLevel="0" collapsed="false">
      <c r="A227" s="68" t="s">
        <v>852</v>
      </c>
      <c r="B227" s="68" t="n">
        <v>1505</v>
      </c>
      <c r="C227" s="68" t="s">
        <v>57</v>
      </c>
      <c r="D227" s="68" t="s">
        <v>58</v>
      </c>
      <c r="E227" s="68" t="n">
        <v>2024</v>
      </c>
      <c r="F227" s="68" t="s">
        <v>801</v>
      </c>
      <c r="G227" s="68" t="s">
        <v>61</v>
      </c>
      <c r="H227" s="68" t="n">
        <v>0.44</v>
      </c>
      <c r="I227" s="68" t="n">
        <v>2806</v>
      </c>
      <c r="J227" s="68" t="s">
        <v>1110</v>
      </c>
      <c r="K227" s="68"/>
    </row>
    <row r="228" customFormat="false" ht="14.25" hidden="false" customHeight="true" outlineLevel="0" collapsed="false">
      <c r="A228" s="68" t="s">
        <v>852</v>
      </c>
      <c r="B228" s="68" t="n">
        <v>1506</v>
      </c>
      <c r="C228" s="68" t="s">
        <v>57</v>
      </c>
      <c r="D228" s="68" t="s">
        <v>58</v>
      </c>
      <c r="E228" s="68" t="n">
        <v>2025</v>
      </c>
      <c r="F228" s="68" t="s">
        <v>805</v>
      </c>
      <c r="G228" s="68" t="s">
        <v>863</v>
      </c>
      <c r="H228" s="68" t="n">
        <v>0.08</v>
      </c>
      <c r="I228" s="68" t="n">
        <v>3759</v>
      </c>
      <c r="J228" s="68" t="s">
        <v>1111</v>
      </c>
      <c r="K228" s="68" t="s">
        <v>876</v>
      </c>
    </row>
    <row r="229" customFormat="false" ht="14.25" hidden="false" customHeight="true" outlineLevel="0" collapsed="false">
      <c r="A229" s="68" t="s">
        <v>852</v>
      </c>
      <c r="B229" s="68" t="n">
        <v>1507</v>
      </c>
      <c r="C229" s="68" t="s">
        <v>57</v>
      </c>
      <c r="D229" s="68" t="s">
        <v>58</v>
      </c>
      <c r="E229" s="68" t="n">
        <v>2025</v>
      </c>
      <c r="F229" s="68" t="s">
        <v>798</v>
      </c>
      <c r="G229" s="68" t="s">
        <v>61</v>
      </c>
      <c r="H229" s="68" t="n">
        <v>0.37</v>
      </c>
      <c r="I229" s="68" t="n">
        <v>4893</v>
      </c>
      <c r="J229" s="68" t="s">
        <v>1112</v>
      </c>
      <c r="K229" s="68" t="s">
        <v>878</v>
      </c>
    </row>
    <row r="230" customFormat="false" ht="14.25" hidden="false" customHeight="true" outlineLevel="0" collapsed="false">
      <c r="A230" s="68" t="s">
        <v>852</v>
      </c>
      <c r="B230" s="68" t="n">
        <v>1508</v>
      </c>
      <c r="C230" s="68" t="s">
        <v>61</v>
      </c>
      <c r="D230" s="68" t="s">
        <v>62</v>
      </c>
      <c r="E230" s="68" t="n">
        <v>2020</v>
      </c>
      <c r="F230" s="68" t="s">
        <v>797</v>
      </c>
      <c r="G230" s="68" t="s">
        <v>853</v>
      </c>
      <c r="H230" s="68" t="n">
        <v>0.16</v>
      </c>
      <c r="I230" s="68" t="n">
        <v>1998</v>
      </c>
      <c r="J230" s="68" t="s">
        <v>1113</v>
      </c>
      <c r="K230" s="68" t="s">
        <v>869</v>
      </c>
    </row>
    <row r="231" customFormat="false" ht="14.25" hidden="false" customHeight="true" outlineLevel="0" collapsed="false">
      <c r="A231" s="68" t="s">
        <v>852</v>
      </c>
      <c r="B231" s="68" t="n">
        <v>1509</v>
      </c>
      <c r="C231" s="68" t="s">
        <v>61</v>
      </c>
      <c r="D231" s="68" t="s">
        <v>62</v>
      </c>
      <c r="E231" s="68" t="n">
        <v>2020</v>
      </c>
      <c r="F231" s="68" t="s">
        <v>805</v>
      </c>
      <c r="G231" s="68" t="s">
        <v>853</v>
      </c>
      <c r="H231" s="68" t="n">
        <v>-0.05</v>
      </c>
      <c r="I231" s="68" t="n">
        <v>1030</v>
      </c>
      <c r="J231" s="68" t="s">
        <v>1114</v>
      </c>
      <c r="K231" s="68"/>
    </row>
    <row r="232" customFormat="false" ht="14.25" hidden="false" customHeight="true" outlineLevel="0" collapsed="false">
      <c r="A232" s="68" t="s">
        <v>852</v>
      </c>
      <c r="B232" s="68" t="n">
        <v>1510</v>
      </c>
      <c r="C232" s="68" t="s">
        <v>61</v>
      </c>
      <c r="D232" s="68" t="s">
        <v>62</v>
      </c>
      <c r="E232" s="68" t="n">
        <v>2020</v>
      </c>
      <c r="F232" s="68" t="s">
        <v>801</v>
      </c>
      <c r="G232" s="68" t="s">
        <v>863</v>
      </c>
      <c r="H232" s="68" t="n">
        <v>0.4</v>
      </c>
      <c r="I232" s="68" t="n">
        <v>2524</v>
      </c>
      <c r="J232" s="68" t="s">
        <v>1115</v>
      </c>
      <c r="K232" s="68"/>
    </row>
    <row r="233" customFormat="false" ht="14.25" hidden="false" customHeight="true" outlineLevel="0" collapsed="false">
      <c r="A233" s="68" t="s">
        <v>852</v>
      </c>
      <c r="B233" s="68" t="n">
        <v>1511</v>
      </c>
      <c r="C233" s="68" t="s">
        <v>61</v>
      </c>
      <c r="D233" s="68" t="s">
        <v>62</v>
      </c>
      <c r="E233" s="68" t="n">
        <v>2021</v>
      </c>
      <c r="F233" s="68" t="s">
        <v>797</v>
      </c>
      <c r="G233" s="68" t="s">
        <v>853</v>
      </c>
      <c r="H233" s="68" t="n">
        <v>0.03</v>
      </c>
      <c r="I233" s="68" t="n">
        <v>3775</v>
      </c>
      <c r="J233" s="68" t="s">
        <v>1116</v>
      </c>
      <c r="K233" s="68" t="s">
        <v>1023</v>
      </c>
    </row>
    <row r="234" customFormat="false" ht="14.25" hidden="false" customHeight="true" outlineLevel="0" collapsed="false">
      <c r="A234" s="68" t="s">
        <v>852</v>
      </c>
      <c r="B234" s="68" t="n">
        <v>1512</v>
      </c>
      <c r="C234" s="68" t="s">
        <v>61</v>
      </c>
      <c r="D234" s="68" t="s">
        <v>62</v>
      </c>
      <c r="E234" s="68" t="n">
        <v>2021</v>
      </c>
      <c r="F234" s="68" t="s">
        <v>805</v>
      </c>
      <c r="G234" s="68" t="s">
        <v>61</v>
      </c>
      <c r="H234" s="68" t="n">
        <v>-0.04</v>
      </c>
      <c r="I234" s="68" t="n">
        <v>4412</v>
      </c>
      <c r="J234" s="68" t="s">
        <v>1117</v>
      </c>
      <c r="K234" s="68"/>
    </row>
    <row r="235" customFormat="false" ht="14.25" hidden="false" customHeight="true" outlineLevel="0" collapsed="false">
      <c r="A235" s="68" t="s">
        <v>852</v>
      </c>
      <c r="B235" s="68" t="n">
        <v>1513</v>
      </c>
      <c r="C235" s="68" t="s">
        <v>61</v>
      </c>
      <c r="D235" s="68" t="s">
        <v>62</v>
      </c>
      <c r="E235" s="68" t="n">
        <v>2021</v>
      </c>
      <c r="F235" s="68" t="s">
        <v>798</v>
      </c>
      <c r="G235" s="68" t="s">
        <v>61</v>
      </c>
      <c r="H235" s="68" t="n">
        <v>0.39</v>
      </c>
      <c r="I235" s="68" t="n">
        <v>1348</v>
      </c>
      <c r="J235" s="68" t="s">
        <v>1118</v>
      </c>
      <c r="K235" s="68"/>
    </row>
    <row r="236" customFormat="false" ht="14.25" hidden="false" customHeight="true" outlineLevel="0" collapsed="false">
      <c r="A236" s="68" t="s">
        <v>852</v>
      </c>
      <c r="B236" s="68" t="n">
        <v>1514</v>
      </c>
      <c r="C236" s="68" t="s">
        <v>61</v>
      </c>
      <c r="D236" s="68" t="s">
        <v>62</v>
      </c>
      <c r="E236" s="68" t="n">
        <v>2021</v>
      </c>
      <c r="F236" s="68" t="s">
        <v>801</v>
      </c>
      <c r="G236" s="68" t="s">
        <v>61</v>
      </c>
      <c r="H236" s="68" t="n">
        <v>0.26</v>
      </c>
      <c r="I236" s="68" t="n">
        <v>133</v>
      </c>
      <c r="J236" s="68" t="s">
        <v>1119</v>
      </c>
      <c r="K236" s="68"/>
    </row>
    <row r="237" customFormat="false" ht="14.25" hidden="false" customHeight="true" outlineLevel="0" collapsed="false">
      <c r="A237" s="68" t="s">
        <v>852</v>
      </c>
      <c r="B237" s="68" t="n">
        <v>1515</v>
      </c>
      <c r="C237" s="68" t="s">
        <v>61</v>
      </c>
      <c r="D237" s="68" t="s">
        <v>62</v>
      </c>
      <c r="E237" s="68" t="n">
        <v>2022</v>
      </c>
      <c r="F237" s="68" t="s">
        <v>797</v>
      </c>
      <c r="G237" s="68" t="s">
        <v>61</v>
      </c>
      <c r="H237" s="68" t="n">
        <v>-0.11</v>
      </c>
      <c r="I237" s="68" t="n">
        <v>4145</v>
      </c>
      <c r="J237" s="68" t="s">
        <v>1120</v>
      </c>
      <c r="K237" s="68"/>
    </row>
    <row r="238" customFormat="false" ht="14.25" hidden="false" customHeight="true" outlineLevel="0" collapsed="false">
      <c r="A238" s="68" t="s">
        <v>852</v>
      </c>
      <c r="B238" s="68" t="n">
        <v>1516</v>
      </c>
      <c r="C238" s="68" t="s">
        <v>61</v>
      </c>
      <c r="D238" s="68" t="s">
        <v>62</v>
      </c>
      <c r="E238" s="68" t="n">
        <v>2022</v>
      </c>
      <c r="F238" s="68" t="s">
        <v>805</v>
      </c>
      <c r="G238" s="68" t="s">
        <v>61</v>
      </c>
      <c r="H238" s="68" t="n">
        <v>0.11</v>
      </c>
      <c r="I238" s="68" t="n">
        <v>4618</v>
      </c>
      <c r="J238" s="68" t="s">
        <v>1121</v>
      </c>
      <c r="K238" s="68" t="s">
        <v>876</v>
      </c>
    </row>
    <row r="239" customFormat="false" ht="14.25" hidden="false" customHeight="true" outlineLevel="0" collapsed="false">
      <c r="A239" s="68" t="s">
        <v>852</v>
      </c>
      <c r="B239" s="68" t="n">
        <v>1517</v>
      </c>
      <c r="C239" s="68" t="s">
        <v>61</v>
      </c>
      <c r="D239" s="68" t="s">
        <v>62</v>
      </c>
      <c r="E239" s="68" t="n">
        <v>2022</v>
      </c>
      <c r="F239" s="68" t="s">
        <v>798</v>
      </c>
      <c r="G239" s="68" t="s">
        <v>863</v>
      </c>
      <c r="H239" s="68" t="n">
        <v>0.39</v>
      </c>
      <c r="I239" s="68" t="n">
        <v>2672</v>
      </c>
      <c r="J239" s="68" t="s">
        <v>1122</v>
      </c>
      <c r="K239" s="68" t="s">
        <v>1009</v>
      </c>
    </row>
    <row r="240" customFormat="false" ht="14.25" hidden="false" customHeight="true" outlineLevel="0" collapsed="false">
      <c r="A240" s="68" t="s">
        <v>852</v>
      </c>
      <c r="B240" s="68" t="n">
        <v>1518</v>
      </c>
      <c r="C240" s="68" t="s">
        <v>61</v>
      </c>
      <c r="D240" s="68" t="s">
        <v>62</v>
      </c>
      <c r="E240" s="68" t="n">
        <v>2022</v>
      </c>
      <c r="F240" s="68" t="s">
        <v>801</v>
      </c>
      <c r="G240" s="68" t="s">
        <v>863</v>
      </c>
      <c r="H240" s="68" t="n">
        <v>0.22</v>
      </c>
      <c r="I240" s="68" t="n">
        <v>1769</v>
      </c>
      <c r="J240" s="68" t="s">
        <v>1123</v>
      </c>
      <c r="K240" s="68" t="s">
        <v>866</v>
      </c>
    </row>
    <row r="241" customFormat="false" ht="14.25" hidden="false" customHeight="true" outlineLevel="0" collapsed="false">
      <c r="A241" s="68" t="s">
        <v>852</v>
      </c>
      <c r="B241" s="68" t="n">
        <v>1519</v>
      </c>
      <c r="C241" s="68" t="s">
        <v>61</v>
      </c>
      <c r="D241" s="68" t="s">
        <v>62</v>
      </c>
      <c r="E241" s="68" t="n">
        <v>2023</v>
      </c>
      <c r="F241" s="68" t="s">
        <v>797</v>
      </c>
      <c r="G241" s="68" t="s">
        <v>61</v>
      </c>
      <c r="H241" s="68" t="n">
        <v>0.14</v>
      </c>
      <c r="I241" s="68" t="n">
        <v>867</v>
      </c>
      <c r="J241" s="68" t="s">
        <v>1124</v>
      </c>
      <c r="K241" s="68"/>
    </row>
    <row r="242" customFormat="false" ht="14.25" hidden="false" customHeight="true" outlineLevel="0" collapsed="false">
      <c r="A242" s="68" t="s">
        <v>852</v>
      </c>
      <c r="B242" s="68" t="n">
        <v>1520</v>
      </c>
      <c r="C242" s="68" t="s">
        <v>61</v>
      </c>
      <c r="D242" s="68" t="s">
        <v>62</v>
      </c>
      <c r="E242" s="68" t="n">
        <v>2023</v>
      </c>
      <c r="F242" s="68" t="s">
        <v>805</v>
      </c>
      <c r="G242" s="68" t="s">
        <v>863</v>
      </c>
      <c r="H242" s="68" t="n">
        <v>0.66</v>
      </c>
      <c r="I242" s="68" t="n">
        <v>4895</v>
      </c>
      <c r="J242" s="68" t="s">
        <v>1125</v>
      </c>
      <c r="K242" s="68" t="s">
        <v>869</v>
      </c>
    </row>
    <row r="243" customFormat="false" ht="14.25" hidden="false" customHeight="true" outlineLevel="0" collapsed="false">
      <c r="A243" s="68" t="s">
        <v>852</v>
      </c>
      <c r="B243" s="68" t="n">
        <v>1521</v>
      </c>
      <c r="C243" s="68" t="s">
        <v>61</v>
      </c>
      <c r="D243" s="68" t="s">
        <v>62</v>
      </c>
      <c r="E243" s="68" t="n">
        <v>2023</v>
      </c>
      <c r="F243" s="68" t="s">
        <v>798</v>
      </c>
      <c r="G243" s="68" t="s">
        <v>61</v>
      </c>
      <c r="H243" s="68" t="n">
        <v>0.02</v>
      </c>
      <c r="I243" s="68" t="n">
        <v>2708</v>
      </c>
      <c r="J243" s="68" t="s">
        <v>1126</v>
      </c>
      <c r="K243" s="68"/>
    </row>
    <row r="244" customFormat="false" ht="14.25" hidden="false" customHeight="true" outlineLevel="0" collapsed="false">
      <c r="A244" s="68" t="s">
        <v>852</v>
      </c>
      <c r="B244" s="68" t="n">
        <v>1522</v>
      </c>
      <c r="C244" s="68" t="s">
        <v>61</v>
      </c>
      <c r="D244" s="68" t="s">
        <v>62</v>
      </c>
      <c r="E244" s="68" t="n">
        <v>2023</v>
      </c>
      <c r="F244" s="68" t="s">
        <v>801</v>
      </c>
      <c r="G244" s="68" t="s">
        <v>863</v>
      </c>
      <c r="H244" s="68" t="n">
        <v>0.13</v>
      </c>
      <c r="I244" s="68" t="n">
        <v>4683</v>
      </c>
      <c r="J244" s="68" t="s">
        <v>1127</v>
      </c>
      <c r="K244" s="68"/>
    </row>
    <row r="245" customFormat="false" ht="14.25" hidden="false" customHeight="true" outlineLevel="0" collapsed="false">
      <c r="A245" s="68" t="s">
        <v>852</v>
      </c>
      <c r="B245" s="68" t="n">
        <v>1523</v>
      </c>
      <c r="C245" s="68" t="s">
        <v>61</v>
      </c>
      <c r="D245" s="68" t="s">
        <v>62</v>
      </c>
      <c r="E245" s="68" t="n">
        <v>2024</v>
      </c>
      <c r="F245" s="68" t="s">
        <v>797</v>
      </c>
      <c r="G245" s="68" t="s">
        <v>61</v>
      </c>
      <c r="H245" s="68" t="n">
        <v>0.29</v>
      </c>
      <c r="I245" s="68" t="n">
        <v>101</v>
      </c>
      <c r="J245" s="68" t="s">
        <v>1128</v>
      </c>
      <c r="K245" s="68" t="s">
        <v>965</v>
      </c>
    </row>
    <row r="246" customFormat="false" ht="14.25" hidden="false" customHeight="true" outlineLevel="0" collapsed="false">
      <c r="A246" s="68" t="s">
        <v>852</v>
      </c>
      <c r="B246" s="68" t="n">
        <v>1524</v>
      </c>
      <c r="C246" s="68" t="s">
        <v>61</v>
      </c>
      <c r="D246" s="68" t="s">
        <v>62</v>
      </c>
      <c r="E246" s="68" t="n">
        <v>2024</v>
      </c>
      <c r="F246" s="68" t="s">
        <v>805</v>
      </c>
      <c r="G246" s="68" t="s">
        <v>61</v>
      </c>
      <c r="H246" s="68" t="n">
        <v>0.32</v>
      </c>
      <c r="I246" s="68" t="n">
        <v>1266</v>
      </c>
      <c r="J246" s="68" t="s">
        <v>1129</v>
      </c>
      <c r="K246" s="68" t="s">
        <v>1026</v>
      </c>
    </row>
    <row r="247" customFormat="false" ht="14.25" hidden="false" customHeight="true" outlineLevel="0" collapsed="false">
      <c r="A247" s="68" t="s">
        <v>852</v>
      </c>
      <c r="B247" s="68" t="n">
        <v>1525</v>
      </c>
      <c r="C247" s="68" t="s">
        <v>61</v>
      </c>
      <c r="D247" s="68" t="s">
        <v>62</v>
      </c>
      <c r="E247" s="68" t="n">
        <v>2024</v>
      </c>
      <c r="F247" s="68" t="s">
        <v>798</v>
      </c>
      <c r="G247" s="68" t="s">
        <v>863</v>
      </c>
      <c r="H247" s="68" t="n">
        <v>0.12</v>
      </c>
      <c r="I247" s="68" t="n">
        <v>363</v>
      </c>
      <c r="J247" s="68" t="s">
        <v>1130</v>
      </c>
      <c r="K247" s="68"/>
    </row>
    <row r="248" customFormat="false" ht="14.25" hidden="false" customHeight="true" outlineLevel="0" collapsed="false">
      <c r="A248" s="68" t="s">
        <v>852</v>
      </c>
      <c r="B248" s="68" t="n">
        <v>1526</v>
      </c>
      <c r="C248" s="68" t="s">
        <v>61</v>
      </c>
      <c r="D248" s="68" t="s">
        <v>62</v>
      </c>
      <c r="E248" s="68" t="n">
        <v>2024</v>
      </c>
      <c r="F248" s="68" t="s">
        <v>801</v>
      </c>
      <c r="G248" s="68" t="s">
        <v>863</v>
      </c>
      <c r="H248" s="68" t="n">
        <v>0.35</v>
      </c>
      <c r="I248" s="68" t="n">
        <v>4902</v>
      </c>
      <c r="J248" s="68" t="s">
        <v>1131</v>
      </c>
      <c r="K248" s="68" t="s">
        <v>937</v>
      </c>
    </row>
    <row r="249" customFormat="false" ht="14.25" hidden="false" customHeight="true" outlineLevel="0" collapsed="false">
      <c r="A249" s="68" t="s">
        <v>852</v>
      </c>
      <c r="B249" s="68" t="n">
        <v>1527</v>
      </c>
      <c r="C249" s="68" t="s">
        <v>61</v>
      </c>
      <c r="D249" s="68" t="s">
        <v>62</v>
      </c>
      <c r="E249" s="68" t="n">
        <v>2025</v>
      </c>
      <c r="F249" s="68" t="s">
        <v>797</v>
      </c>
      <c r="G249" s="68" t="s">
        <v>863</v>
      </c>
      <c r="H249" s="68" t="n">
        <v>0.41</v>
      </c>
      <c r="I249" s="68" t="n">
        <v>1269</v>
      </c>
      <c r="J249" s="68" t="s">
        <v>1132</v>
      </c>
      <c r="K249" s="68"/>
    </row>
    <row r="250" customFormat="false" ht="14.25" hidden="false" customHeight="true" outlineLevel="0" collapsed="false">
      <c r="A250" s="68" t="s">
        <v>852</v>
      </c>
      <c r="B250" s="68" t="n">
        <v>1528</v>
      </c>
      <c r="C250" s="68" t="s">
        <v>61</v>
      </c>
      <c r="D250" s="68" t="s">
        <v>62</v>
      </c>
      <c r="E250" s="68" t="n">
        <v>2025</v>
      </c>
      <c r="F250" s="68" t="s">
        <v>805</v>
      </c>
      <c r="G250" s="68" t="s">
        <v>61</v>
      </c>
      <c r="H250" s="68" t="n">
        <v>0.34</v>
      </c>
      <c r="I250" s="68" t="n">
        <v>120</v>
      </c>
      <c r="J250" s="68" t="s">
        <v>1133</v>
      </c>
      <c r="K250" s="68"/>
    </row>
    <row r="251" customFormat="false" ht="14.25" hidden="false" customHeight="true" outlineLevel="0" collapsed="false">
      <c r="A251" s="68" t="s">
        <v>852</v>
      </c>
      <c r="B251" s="68" t="n">
        <v>1529</v>
      </c>
      <c r="C251" s="68" t="s">
        <v>61</v>
      </c>
      <c r="D251" s="68" t="s">
        <v>62</v>
      </c>
      <c r="E251" s="68" t="n">
        <v>2025</v>
      </c>
      <c r="F251" s="68" t="s">
        <v>798</v>
      </c>
      <c r="G251" s="68" t="s">
        <v>853</v>
      </c>
      <c r="H251" s="68" t="n">
        <v>-0.09</v>
      </c>
      <c r="I251" s="68" t="n">
        <v>3366</v>
      </c>
      <c r="J251" s="68" t="s">
        <v>1134</v>
      </c>
      <c r="K251" s="68" t="s">
        <v>876</v>
      </c>
    </row>
    <row r="252" customFormat="false" ht="14.25" hidden="false" customHeight="true" outlineLevel="0" collapsed="false">
      <c r="A252" s="68" t="s">
        <v>852</v>
      </c>
      <c r="B252" s="68" t="n">
        <v>1530</v>
      </c>
      <c r="C252" s="68" t="s">
        <v>64</v>
      </c>
      <c r="D252" s="68" t="s">
        <v>65</v>
      </c>
      <c r="E252" s="68" t="n">
        <v>2020</v>
      </c>
      <c r="F252" s="68" t="s">
        <v>797</v>
      </c>
      <c r="G252" s="68" t="s">
        <v>61</v>
      </c>
      <c r="H252" s="68" t="n">
        <v>0.63</v>
      </c>
      <c r="I252" s="68" t="n">
        <v>1935</v>
      </c>
      <c r="J252" s="68" t="s">
        <v>1135</v>
      </c>
      <c r="K252" s="68"/>
    </row>
    <row r="253" customFormat="false" ht="14.25" hidden="false" customHeight="true" outlineLevel="0" collapsed="false">
      <c r="A253" s="68" t="s">
        <v>852</v>
      </c>
      <c r="B253" s="68" t="n">
        <v>1531</v>
      </c>
      <c r="C253" s="68" t="s">
        <v>64</v>
      </c>
      <c r="D253" s="68" t="s">
        <v>65</v>
      </c>
      <c r="E253" s="68" t="n">
        <v>2020</v>
      </c>
      <c r="F253" s="68" t="s">
        <v>805</v>
      </c>
      <c r="G253" s="68" t="s">
        <v>863</v>
      </c>
      <c r="H253" s="68" t="n">
        <v>0.08</v>
      </c>
      <c r="I253" s="68" t="n">
        <v>2595</v>
      </c>
      <c r="J253" s="68" t="s">
        <v>1136</v>
      </c>
      <c r="K253" s="68"/>
    </row>
    <row r="254" customFormat="false" ht="14.25" hidden="false" customHeight="true" outlineLevel="0" collapsed="false">
      <c r="A254" s="68" t="s">
        <v>852</v>
      </c>
      <c r="B254" s="68" t="n">
        <v>1532</v>
      </c>
      <c r="C254" s="68" t="s">
        <v>64</v>
      </c>
      <c r="D254" s="68" t="s">
        <v>65</v>
      </c>
      <c r="E254" s="68" t="n">
        <v>2020</v>
      </c>
      <c r="F254" s="68" t="s">
        <v>798</v>
      </c>
      <c r="G254" s="68" t="s">
        <v>863</v>
      </c>
      <c r="H254" s="68" t="n">
        <v>0.1</v>
      </c>
      <c r="I254" s="68" t="n">
        <v>1235</v>
      </c>
      <c r="J254" s="68" t="s">
        <v>1137</v>
      </c>
      <c r="K254" s="68"/>
    </row>
    <row r="255" customFormat="false" ht="14.25" hidden="false" customHeight="true" outlineLevel="0" collapsed="false">
      <c r="A255" s="68" t="s">
        <v>852</v>
      </c>
      <c r="B255" s="68" t="n">
        <v>1533</v>
      </c>
      <c r="C255" s="68" t="s">
        <v>64</v>
      </c>
      <c r="D255" s="68" t="s">
        <v>65</v>
      </c>
      <c r="E255" s="68" t="n">
        <v>2020</v>
      </c>
      <c r="F255" s="68" t="s">
        <v>801</v>
      </c>
      <c r="G255" s="68" t="s">
        <v>853</v>
      </c>
      <c r="H255" s="68" t="n">
        <v>-0.22</v>
      </c>
      <c r="I255" s="68" t="n">
        <v>803</v>
      </c>
      <c r="J255" s="68" t="s">
        <v>1138</v>
      </c>
      <c r="K255" s="68"/>
    </row>
    <row r="256" customFormat="false" ht="14.25" hidden="false" customHeight="true" outlineLevel="0" collapsed="false">
      <c r="A256" s="68" t="s">
        <v>852</v>
      </c>
      <c r="B256" s="68" t="n">
        <v>1534</v>
      </c>
      <c r="C256" s="68" t="s">
        <v>64</v>
      </c>
      <c r="D256" s="68" t="s">
        <v>65</v>
      </c>
      <c r="E256" s="68" t="n">
        <v>2021</v>
      </c>
      <c r="F256" s="68" t="s">
        <v>797</v>
      </c>
      <c r="G256" s="68" t="s">
        <v>61</v>
      </c>
      <c r="H256" s="68" t="n">
        <v>-0.36</v>
      </c>
      <c r="I256" s="68" t="n">
        <v>2566</v>
      </c>
      <c r="J256" s="68" t="s">
        <v>1139</v>
      </c>
      <c r="K256" s="68"/>
    </row>
    <row r="257" customFormat="false" ht="14.25" hidden="false" customHeight="true" outlineLevel="0" collapsed="false">
      <c r="A257" s="68" t="s">
        <v>852</v>
      </c>
      <c r="B257" s="68" t="n">
        <v>1535</v>
      </c>
      <c r="C257" s="68" t="s">
        <v>64</v>
      </c>
      <c r="D257" s="68" t="s">
        <v>65</v>
      </c>
      <c r="E257" s="68" t="n">
        <v>2021</v>
      </c>
      <c r="F257" s="68" t="s">
        <v>798</v>
      </c>
      <c r="G257" s="68" t="s">
        <v>853</v>
      </c>
      <c r="H257" s="68" t="n">
        <v>-0.16</v>
      </c>
      <c r="I257" s="68" t="n">
        <v>3975</v>
      </c>
      <c r="J257" s="68" t="s">
        <v>1140</v>
      </c>
      <c r="K257" s="68" t="s">
        <v>869</v>
      </c>
    </row>
    <row r="258" customFormat="false" ht="14.25" hidden="false" customHeight="true" outlineLevel="0" collapsed="false">
      <c r="A258" s="68" t="s">
        <v>852</v>
      </c>
      <c r="B258" s="68" t="n">
        <v>1536</v>
      </c>
      <c r="C258" s="68" t="s">
        <v>64</v>
      </c>
      <c r="D258" s="68" t="s">
        <v>65</v>
      </c>
      <c r="E258" s="68" t="n">
        <v>2021</v>
      </c>
      <c r="F258" s="68" t="s">
        <v>801</v>
      </c>
      <c r="G258" s="68" t="s">
        <v>853</v>
      </c>
      <c r="H258" s="68" t="n">
        <v>-0.12</v>
      </c>
      <c r="I258" s="68" t="n">
        <v>3119</v>
      </c>
      <c r="J258" s="68" t="s">
        <v>1141</v>
      </c>
      <c r="K258" s="68"/>
    </row>
    <row r="259" customFormat="false" ht="14.25" hidden="false" customHeight="true" outlineLevel="0" collapsed="false">
      <c r="A259" s="68" t="s">
        <v>852</v>
      </c>
      <c r="B259" s="68" t="n">
        <v>1537</v>
      </c>
      <c r="C259" s="68" t="s">
        <v>64</v>
      </c>
      <c r="D259" s="68" t="s">
        <v>65</v>
      </c>
      <c r="E259" s="68" t="n">
        <v>2022</v>
      </c>
      <c r="F259" s="68" t="s">
        <v>797</v>
      </c>
      <c r="G259" s="68" t="s">
        <v>61</v>
      </c>
      <c r="H259" s="68" t="n">
        <v>-0.18</v>
      </c>
      <c r="I259" s="68" t="n">
        <v>937</v>
      </c>
      <c r="J259" s="68" t="s">
        <v>1142</v>
      </c>
      <c r="K259" s="68"/>
    </row>
    <row r="260" customFormat="false" ht="14.25" hidden="false" customHeight="true" outlineLevel="0" collapsed="false">
      <c r="A260" s="68" t="s">
        <v>852</v>
      </c>
      <c r="B260" s="68" t="n">
        <v>1538</v>
      </c>
      <c r="C260" s="68" t="s">
        <v>64</v>
      </c>
      <c r="D260" s="68" t="s">
        <v>65</v>
      </c>
      <c r="E260" s="68" t="n">
        <v>2022</v>
      </c>
      <c r="F260" s="68" t="s">
        <v>805</v>
      </c>
      <c r="G260" s="68" t="s">
        <v>863</v>
      </c>
      <c r="H260" s="68" t="n">
        <v>0.24</v>
      </c>
      <c r="I260" s="68" t="n">
        <v>1568</v>
      </c>
      <c r="J260" s="68" t="s">
        <v>1143</v>
      </c>
      <c r="K260" s="68"/>
    </row>
    <row r="261" customFormat="false" ht="14.25" hidden="false" customHeight="true" outlineLevel="0" collapsed="false">
      <c r="A261" s="68" t="s">
        <v>852</v>
      </c>
      <c r="B261" s="68" t="n">
        <v>1539</v>
      </c>
      <c r="C261" s="68" t="s">
        <v>64</v>
      </c>
      <c r="D261" s="68" t="s">
        <v>65</v>
      </c>
      <c r="E261" s="68" t="n">
        <v>2022</v>
      </c>
      <c r="F261" s="68" t="s">
        <v>798</v>
      </c>
      <c r="G261" s="68" t="s">
        <v>853</v>
      </c>
      <c r="H261" s="68" t="n">
        <v>0.29</v>
      </c>
      <c r="I261" s="68" t="n">
        <v>3607</v>
      </c>
      <c r="J261" s="68" t="s">
        <v>1144</v>
      </c>
      <c r="K261" s="68"/>
    </row>
    <row r="262" customFormat="false" ht="14.25" hidden="false" customHeight="true" outlineLevel="0" collapsed="false">
      <c r="A262" s="68" t="s">
        <v>852</v>
      </c>
      <c r="B262" s="68" t="n">
        <v>1540</v>
      </c>
      <c r="C262" s="68" t="s">
        <v>64</v>
      </c>
      <c r="D262" s="68" t="s">
        <v>65</v>
      </c>
      <c r="E262" s="68" t="n">
        <v>2022</v>
      </c>
      <c r="F262" s="68" t="s">
        <v>801</v>
      </c>
      <c r="G262" s="68" t="s">
        <v>863</v>
      </c>
      <c r="H262" s="68" t="n">
        <v>0.33</v>
      </c>
      <c r="I262" s="68" t="n">
        <v>2079</v>
      </c>
      <c r="J262" s="68" t="s">
        <v>1145</v>
      </c>
      <c r="K262" s="68"/>
    </row>
    <row r="263" customFormat="false" ht="14.25" hidden="false" customHeight="true" outlineLevel="0" collapsed="false">
      <c r="A263" s="68" t="s">
        <v>852</v>
      </c>
      <c r="B263" s="68" t="n">
        <v>1541</v>
      </c>
      <c r="C263" s="68" t="s">
        <v>64</v>
      </c>
      <c r="D263" s="68" t="s">
        <v>65</v>
      </c>
      <c r="E263" s="68" t="n">
        <v>2023</v>
      </c>
      <c r="F263" s="68" t="s">
        <v>797</v>
      </c>
      <c r="G263" s="68" t="s">
        <v>61</v>
      </c>
      <c r="H263" s="68" t="n">
        <v>0.26</v>
      </c>
      <c r="I263" s="68" t="n">
        <v>1407</v>
      </c>
      <c r="J263" s="68" t="s">
        <v>1146</v>
      </c>
      <c r="K263" s="68"/>
    </row>
    <row r="264" customFormat="false" ht="14.25" hidden="false" customHeight="true" outlineLevel="0" collapsed="false">
      <c r="A264" s="68" t="s">
        <v>852</v>
      </c>
      <c r="B264" s="68" t="n">
        <v>1542</v>
      </c>
      <c r="C264" s="68" t="s">
        <v>64</v>
      </c>
      <c r="D264" s="68" t="s">
        <v>65</v>
      </c>
      <c r="E264" s="68" t="n">
        <v>2023</v>
      </c>
      <c r="F264" s="68" t="s">
        <v>805</v>
      </c>
      <c r="G264" s="68" t="s">
        <v>61</v>
      </c>
      <c r="H264" s="68" t="n">
        <v>0.15</v>
      </c>
      <c r="I264" s="68" t="n">
        <v>1289</v>
      </c>
      <c r="J264" s="68" t="s">
        <v>1147</v>
      </c>
      <c r="K264" s="68"/>
    </row>
    <row r="265" customFormat="false" ht="14.25" hidden="false" customHeight="true" outlineLevel="0" collapsed="false">
      <c r="A265" s="68" t="s">
        <v>852</v>
      </c>
      <c r="B265" s="68" t="n">
        <v>1543</v>
      </c>
      <c r="C265" s="68" t="s">
        <v>64</v>
      </c>
      <c r="D265" s="68" t="s">
        <v>65</v>
      </c>
      <c r="E265" s="68" t="n">
        <v>2023</v>
      </c>
      <c r="F265" s="68" t="s">
        <v>798</v>
      </c>
      <c r="G265" s="68" t="s">
        <v>853</v>
      </c>
      <c r="H265" s="68" t="n">
        <v>0.24</v>
      </c>
      <c r="I265" s="68" t="n">
        <v>4674</v>
      </c>
      <c r="J265" s="68" t="s">
        <v>1148</v>
      </c>
      <c r="K265" s="68"/>
    </row>
    <row r="266" customFormat="false" ht="14.25" hidden="false" customHeight="true" outlineLevel="0" collapsed="false">
      <c r="A266" s="68" t="s">
        <v>852</v>
      </c>
      <c r="B266" s="68" t="n">
        <v>1544</v>
      </c>
      <c r="C266" s="68" t="s">
        <v>64</v>
      </c>
      <c r="D266" s="68" t="s">
        <v>65</v>
      </c>
      <c r="E266" s="68" t="n">
        <v>2023</v>
      </c>
      <c r="F266" s="68" t="s">
        <v>801</v>
      </c>
      <c r="G266" s="68" t="s">
        <v>853</v>
      </c>
      <c r="H266" s="68" t="n">
        <v>-0.04</v>
      </c>
      <c r="I266" s="68" t="n">
        <v>4998</v>
      </c>
      <c r="J266" s="68" t="s">
        <v>1149</v>
      </c>
      <c r="K266" s="68"/>
    </row>
    <row r="267" customFormat="false" ht="14.25" hidden="false" customHeight="true" outlineLevel="0" collapsed="false">
      <c r="A267" s="68" t="s">
        <v>852</v>
      </c>
      <c r="B267" s="68" t="n">
        <v>1545</v>
      </c>
      <c r="C267" s="68" t="s">
        <v>64</v>
      </c>
      <c r="D267" s="68" t="s">
        <v>65</v>
      </c>
      <c r="E267" s="68" t="n">
        <v>2024</v>
      </c>
      <c r="F267" s="68" t="s">
        <v>805</v>
      </c>
      <c r="G267" s="68" t="s">
        <v>853</v>
      </c>
      <c r="H267" s="68" t="n">
        <v>-0.01</v>
      </c>
      <c r="I267" s="68" t="n">
        <v>3662</v>
      </c>
      <c r="J267" s="68" t="s">
        <v>1150</v>
      </c>
      <c r="K267" s="68"/>
    </row>
    <row r="268" customFormat="false" ht="14.25" hidden="false" customHeight="true" outlineLevel="0" collapsed="false">
      <c r="A268" s="68" t="s">
        <v>852</v>
      </c>
      <c r="B268" s="68" t="n">
        <v>1546</v>
      </c>
      <c r="C268" s="68" t="s">
        <v>64</v>
      </c>
      <c r="D268" s="68" t="s">
        <v>65</v>
      </c>
      <c r="E268" s="68" t="n">
        <v>2024</v>
      </c>
      <c r="F268" s="68" t="s">
        <v>798</v>
      </c>
      <c r="G268" s="68" t="s">
        <v>853</v>
      </c>
      <c r="H268" s="68" t="n">
        <v>0</v>
      </c>
      <c r="I268" s="68" t="n">
        <v>4191</v>
      </c>
      <c r="J268" s="68" t="s">
        <v>1151</v>
      </c>
      <c r="K268" s="68" t="s">
        <v>869</v>
      </c>
    </row>
    <row r="269" customFormat="false" ht="14.25" hidden="false" customHeight="true" outlineLevel="0" collapsed="false">
      <c r="A269" s="68" t="s">
        <v>852</v>
      </c>
      <c r="B269" s="68" t="n">
        <v>1547</v>
      </c>
      <c r="C269" s="68" t="s">
        <v>64</v>
      </c>
      <c r="D269" s="68" t="s">
        <v>65</v>
      </c>
      <c r="E269" s="68" t="n">
        <v>2024</v>
      </c>
      <c r="F269" s="68" t="s">
        <v>801</v>
      </c>
      <c r="G269" s="68" t="s">
        <v>863</v>
      </c>
      <c r="H269" s="68" t="n">
        <v>0.34</v>
      </c>
      <c r="I269" s="68" t="n">
        <v>3762</v>
      </c>
      <c r="J269" s="68" t="s">
        <v>1152</v>
      </c>
      <c r="K269" s="68" t="s">
        <v>935</v>
      </c>
    </row>
    <row r="270" customFormat="false" ht="14.25" hidden="false" customHeight="true" outlineLevel="0" collapsed="false">
      <c r="A270" s="68" t="s">
        <v>852</v>
      </c>
      <c r="B270" s="68" t="n">
        <v>1548</v>
      </c>
      <c r="C270" s="68" t="s">
        <v>64</v>
      </c>
      <c r="D270" s="68" t="s">
        <v>65</v>
      </c>
      <c r="E270" s="68" t="n">
        <v>2025</v>
      </c>
      <c r="F270" s="68" t="s">
        <v>805</v>
      </c>
      <c r="G270" s="68" t="s">
        <v>61</v>
      </c>
      <c r="H270" s="68" t="n">
        <v>0.26</v>
      </c>
      <c r="I270" s="68" t="n">
        <v>4752</v>
      </c>
      <c r="J270" s="68" t="s">
        <v>1153</v>
      </c>
      <c r="K270" s="68" t="s">
        <v>1026</v>
      </c>
    </row>
    <row r="271" customFormat="false" ht="14.25" hidden="false" customHeight="true" outlineLevel="0" collapsed="false">
      <c r="A271" s="68" t="s">
        <v>852</v>
      </c>
      <c r="B271" s="68" t="n">
        <v>1549</v>
      </c>
      <c r="C271" s="68" t="s">
        <v>64</v>
      </c>
      <c r="D271" s="68" t="s">
        <v>65</v>
      </c>
      <c r="E271" s="68" t="n">
        <v>2025</v>
      </c>
      <c r="F271" s="68" t="s">
        <v>798</v>
      </c>
      <c r="G271" s="68" t="s">
        <v>61</v>
      </c>
      <c r="H271" s="68" t="n">
        <v>-0.14</v>
      </c>
      <c r="I271" s="68" t="n">
        <v>3654</v>
      </c>
      <c r="J271" s="68" t="s">
        <v>1154</v>
      </c>
      <c r="K271" s="68"/>
    </row>
    <row r="272" customFormat="false" ht="14.25" hidden="false" customHeight="true" outlineLevel="0" collapsed="false">
      <c r="A272" s="68" t="s">
        <v>852</v>
      </c>
      <c r="B272" s="68" t="n">
        <v>1550</v>
      </c>
      <c r="C272" s="68" t="s">
        <v>67</v>
      </c>
      <c r="D272" s="68" t="s">
        <v>68</v>
      </c>
      <c r="E272" s="68" t="n">
        <v>2020</v>
      </c>
      <c r="F272" s="68" t="s">
        <v>797</v>
      </c>
      <c r="G272" s="68" t="s">
        <v>61</v>
      </c>
      <c r="H272" s="68" t="n">
        <v>0.39</v>
      </c>
      <c r="I272" s="68" t="n">
        <v>746</v>
      </c>
      <c r="J272" s="68" t="s">
        <v>1155</v>
      </c>
      <c r="K272" s="68"/>
    </row>
    <row r="273" customFormat="false" ht="14.25" hidden="false" customHeight="true" outlineLevel="0" collapsed="false">
      <c r="A273" s="68" t="s">
        <v>852</v>
      </c>
      <c r="B273" s="68" t="n">
        <v>1551</v>
      </c>
      <c r="C273" s="68" t="s">
        <v>67</v>
      </c>
      <c r="D273" s="68" t="s">
        <v>68</v>
      </c>
      <c r="E273" s="68" t="n">
        <v>2020</v>
      </c>
      <c r="F273" s="68" t="s">
        <v>805</v>
      </c>
      <c r="G273" s="68" t="s">
        <v>61</v>
      </c>
      <c r="H273" s="68" t="n">
        <v>0.6</v>
      </c>
      <c r="I273" s="68" t="n">
        <v>3907</v>
      </c>
      <c r="J273" s="68" t="s">
        <v>1156</v>
      </c>
      <c r="K273" s="68"/>
    </row>
    <row r="274" customFormat="false" ht="14.25" hidden="false" customHeight="true" outlineLevel="0" collapsed="false">
      <c r="A274" s="68" t="s">
        <v>852</v>
      </c>
      <c r="B274" s="68" t="n">
        <v>1552</v>
      </c>
      <c r="C274" s="68" t="s">
        <v>67</v>
      </c>
      <c r="D274" s="68" t="s">
        <v>68</v>
      </c>
      <c r="E274" s="68" t="n">
        <v>2020</v>
      </c>
      <c r="F274" s="68" t="s">
        <v>798</v>
      </c>
      <c r="G274" s="68" t="s">
        <v>853</v>
      </c>
      <c r="H274" s="68" t="n">
        <v>0.33</v>
      </c>
      <c r="I274" s="68" t="n">
        <v>2265</v>
      </c>
      <c r="J274" s="68" t="s">
        <v>1157</v>
      </c>
      <c r="K274" s="68"/>
    </row>
    <row r="275" customFormat="false" ht="14.25" hidden="false" customHeight="true" outlineLevel="0" collapsed="false">
      <c r="A275" s="68" t="s">
        <v>852</v>
      </c>
      <c r="B275" s="68" t="n">
        <v>1553</v>
      </c>
      <c r="C275" s="68" t="s">
        <v>67</v>
      </c>
      <c r="D275" s="68" t="s">
        <v>68</v>
      </c>
      <c r="E275" s="68" t="n">
        <v>2020</v>
      </c>
      <c r="F275" s="68" t="s">
        <v>801</v>
      </c>
      <c r="G275" s="68" t="s">
        <v>863</v>
      </c>
      <c r="H275" s="68" t="n">
        <v>0.08</v>
      </c>
      <c r="I275" s="68" t="n">
        <v>2977</v>
      </c>
      <c r="J275" s="68" t="s">
        <v>1158</v>
      </c>
      <c r="K275" s="68"/>
    </row>
    <row r="276" customFormat="false" ht="14.25" hidden="false" customHeight="true" outlineLevel="0" collapsed="false">
      <c r="A276" s="68" t="s">
        <v>852</v>
      </c>
      <c r="B276" s="68" t="n">
        <v>1554</v>
      </c>
      <c r="C276" s="68" t="s">
        <v>67</v>
      </c>
      <c r="D276" s="68" t="s">
        <v>68</v>
      </c>
      <c r="E276" s="68" t="n">
        <v>2021</v>
      </c>
      <c r="F276" s="68" t="s">
        <v>797</v>
      </c>
      <c r="G276" s="68" t="s">
        <v>853</v>
      </c>
      <c r="H276" s="68" t="n">
        <v>-0.06</v>
      </c>
      <c r="I276" s="68" t="n">
        <v>1516</v>
      </c>
      <c r="J276" s="68" t="s">
        <v>1159</v>
      </c>
      <c r="K276" s="68" t="s">
        <v>952</v>
      </c>
    </row>
    <row r="277" customFormat="false" ht="14.25" hidden="false" customHeight="true" outlineLevel="0" collapsed="false">
      <c r="A277" s="68" t="s">
        <v>852</v>
      </c>
      <c r="B277" s="68" t="n">
        <v>1555</v>
      </c>
      <c r="C277" s="68" t="s">
        <v>67</v>
      </c>
      <c r="D277" s="68" t="s">
        <v>68</v>
      </c>
      <c r="E277" s="68" t="n">
        <v>2021</v>
      </c>
      <c r="F277" s="68" t="s">
        <v>805</v>
      </c>
      <c r="G277" s="68" t="s">
        <v>61</v>
      </c>
      <c r="H277" s="68" t="n">
        <v>-0.01</v>
      </c>
      <c r="I277" s="68" t="n">
        <v>1274</v>
      </c>
      <c r="J277" s="68" t="s">
        <v>1160</v>
      </c>
      <c r="K277" s="68"/>
    </row>
    <row r="278" customFormat="false" ht="14.25" hidden="false" customHeight="true" outlineLevel="0" collapsed="false">
      <c r="A278" s="68" t="s">
        <v>852</v>
      </c>
      <c r="B278" s="68" t="n">
        <v>1556</v>
      </c>
      <c r="C278" s="68" t="s">
        <v>67</v>
      </c>
      <c r="D278" s="68" t="s">
        <v>68</v>
      </c>
      <c r="E278" s="68" t="n">
        <v>2021</v>
      </c>
      <c r="F278" s="68" t="s">
        <v>798</v>
      </c>
      <c r="G278" s="68" t="s">
        <v>853</v>
      </c>
      <c r="H278" s="68" t="n">
        <v>0.23</v>
      </c>
      <c r="I278" s="68" t="n">
        <v>2818</v>
      </c>
      <c r="J278" s="68" t="s">
        <v>1161</v>
      </c>
      <c r="K278" s="68"/>
    </row>
    <row r="279" customFormat="false" ht="14.25" hidden="false" customHeight="true" outlineLevel="0" collapsed="false">
      <c r="A279" s="68" t="s">
        <v>852</v>
      </c>
      <c r="B279" s="68" t="n">
        <v>1557</v>
      </c>
      <c r="C279" s="68" t="s">
        <v>67</v>
      </c>
      <c r="D279" s="68" t="s">
        <v>68</v>
      </c>
      <c r="E279" s="68" t="n">
        <v>2021</v>
      </c>
      <c r="F279" s="68" t="s">
        <v>801</v>
      </c>
      <c r="G279" s="68" t="s">
        <v>61</v>
      </c>
      <c r="H279" s="68" t="n">
        <v>0.17</v>
      </c>
      <c r="I279" s="68" t="n">
        <v>2436</v>
      </c>
      <c r="J279" s="68" t="s">
        <v>1162</v>
      </c>
      <c r="K279" s="68"/>
    </row>
    <row r="280" customFormat="false" ht="14.25" hidden="false" customHeight="true" outlineLevel="0" collapsed="false">
      <c r="A280" s="68" t="s">
        <v>852</v>
      </c>
      <c r="B280" s="68" t="n">
        <v>1558</v>
      </c>
      <c r="C280" s="68" t="s">
        <v>67</v>
      </c>
      <c r="D280" s="68" t="s">
        <v>68</v>
      </c>
      <c r="E280" s="68" t="n">
        <v>2022</v>
      </c>
      <c r="F280" s="68" t="s">
        <v>797</v>
      </c>
      <c r="G280" s="68" t="s">
        <v>853</v>
      </c>
      <c r="H280" s="68" t="n">
        <v>0.46</v>
      </c>
      <c r="I280" s="68" t="n">
        <v>4916</v>
      </c>
      <c r="J280" s="68" t="s">
        <v>1163</v>
      </c>
      <c r="K280" s="68" t="s">
        <v>869</v>
      </c>
    </row>
    <row r="281" customFormat="false" ht="14.25" hidden="false" customHeight="true" outlineLevel="0" collapsed="false">
      <c r="A281" s="68" t="s">
        <v>852</v>
      </c>
      <c r="B281" s="68" t="n">
        <v>1559</v>
      </c>
      <c r="C281" s="68" t="s">
        <v>67</v>
      </c>
      <c r="D281" s="68" t="s">
        <v>68</v>
      </c>
      <c r="E281" s="68" t="n">
        <v>2022</v>
      </c>
      <c r="F281" s="68" t="s">
        <v>805</v>
      </c>
      <c r="G281" s="68" t="s">
        <v>853</v>
      </c>
      <c r="H281" s="68" t="n">
        <v>0.01</v>
      </c>
      <c r="I281" s="68" t="n">
        <v>778</v>
      </c>
      <c r="J281" s="68" t="s">
        <v>1164</v>
      </c>
      <c r="K281" s="68"/>
    </row>
    <row r="282" customFormat="false" ht="14.25" hidden="false" customHeight="true" outlineLevel="0" collapsed="false">
      <c r="A282" s="68" t="s">
        <v>852</v>
      </c>
      <c r="B282" s="68" t="n">
        <v>1560</v>
      </c>
      <c r="C282" s="68" t="s">
        <v>67</v>
      </c>
      <c r="D282" s="68" t="s">
        <v>68</v>
      </c>
      <c r="E282" s="68" t="n">
        <v>2022</v>
      </c>
      <c r="F282" s="68" t="s">
        <v>798</v>
      </c>
      <c r="G282" s="68" t="s">
        <v>863</v>
      </c>
      <c r="H282" s="68" t="n">
        <v>0.08</v>
      </c>
      <c r="I282" s="68" t="n">
        <v>4788</v>
      </c>
      <c r="J282" s="68" t="s">
        <v>1165</v>
      </c>
      <c r="K282" s="68"/>
    </row>
    <row r="283" customFormat="false" ht="14.25" hidden="false" customHeight="true" outlineLevel="0" collapsed="false">
      <c r="A283" s="68" t="s">
        <v>852</v>
      </c>
      <c r="B283" s="68" t="n">
        <v>1561</v>
      </c>
      <c r="C283" s="68" t="s">
        <v>67</v>
      </c>
      <c r="D283" s="68" t="s">
        <v>68</v>
      </c>
      <c r="E283" s="68" t="n">
        <v>2022</v>
      </c>
      <c r="F283" s="68" t="s">
        <v>801</v>
      </c>
      <c r="G283" s="68" t="s">
        <v>863</v>
      </c>
      <c r="H283" s="68" t="n">
        <v>0.31</v>
      </c>
      <c r="I283" s="68" t="n">
        <v>4538</v>
      </c>
      <c r="J283" s="68" t="s">
        <v>1166</v>
      </c>
      <c r="K283" s="68" t="s">
        <v>876</v>
      </c>
    </row>
    <row r="284" customFormat="false" ht="14.25" hidden="false" customHeight="true" outlineLevel="0" collapsed="false">
      <c r="A284" s="68" t="s">
        <v>852</v>
      </c>
      <c r="B284" s="68" t="n">
        <v>1562</v>
      </c>
      <c r="C284" s="68" t="s">
        <v>67</v>
      </c>
      <c r="D284" s="68" t="s">
        <v>68</v>
      </c>
      <c r="E284" s="68" t="n">
        <v>2023</v>
      </c>
      <c r="F284" s="68" t="s">
        <v>805</v>
      </c>
      <c r="G284" s="68" t="s">
        <v>863</v>
      </c>
      <c r="H284" s="68" t="n">
        <v>-0.3</v>
      </c>
      <c r="I284" s="68" t="n">
        <v>1861</v>
      </c>
      <c r="J284" s="68" t="s">
        <v>1167</v>
      </c>
      <c r="K284" s="68"/>
    </row>
    <row r="285" customFormat="false" ht="14.25" hidden="false" customHeight="true" outlineLevel="0" collapsed="false">
      <c r="A285" s="68" t="s">
        <v>852</v>
      </c>
      <c r="B285" s="68" t="n">
        <v>1563</v>
      </c>
      <c r="C285" s="68" t="s">
        <v>67</v>
      </c>
      <c r="D285" s="68" t="s">
        <v>68</v>
      </c>
      <c r="E285" s="68" t="n">
        <v>2024</v>
      </c>
      <c r="F285" s="68" t="s">
        <v>797</v>
      </c>
      <c r="G285" s="68" t="s">
        <v>863</v>
      </c>
      <c r="H285" s="68" t="n">
        <v>0.66</v>
      </c>
      <c r="I285" s="68" t="n">
        <v>70</v>
      </c>
      <c r="J285" s="68" t="s">
        <v>1168</v>
      </c>
      <c r="K285" s="68"/>
    </row>
    <row r="286" customFormat="false" ht="14.25" hidden="false" customHeight="true" outlineLevel="0" collapsed="false">
      <c r="A286" s="68" t="s">
        <v>852</v>
      </c>
      <c r="B286" s="68" t="n">
        <v>1564</v>
      </c>
      <c r="C286" s="68" t="s">
        <v>67</v>
      </c>
      <c r="D286" s="68" t="s">
        <v>68</v>
      </c>
      <c r="E286" s="68" t="n">
        <v>2024</v>
      </c>
      <c r="F286" s="68" t="s">
        <v>798</v>
      </c>
      <c r="G286" s="68" t="s">
        <v>853</v>
      </c>
      <c r="H286" s="68" t="n">
        <v>0.53</v>
      </c>
      <c r="I286" s="68" t="n">
        <v>487</v>
      </c>
      <c r="J286" s="68" t="s">
        <v>1169</v>
      </c>
      <c r="K286" s="68" t="s">
        <v>1009</v>
      </c>
    </row>
    <row r="287" customFormat="false" ht="14.25" hidden="false" customHeight="true" outlineLevel="0" collapsed="false">
      <c r="A287" s="68" t="s">
        <v>852</v>
      </c>
      <c r="B287" s="68" t="n">
        <v>1565</v>
      </c>
      <c r="C287" s="68" t="s">
        <v>67</v>
      </c>
      <c r="D287" s="68" t="s">
        <v>68</v>
      </c>
      <c r="E287" s="68" t="n">
        <v>2024</v>
      </c>
      <c r="F287" s="68" t="s">
        <v>801</v>
      </c>
      <c r="G287" s="68" t="s">
        <v>61</v>
      </c>
      <c r="H287" s="68" t="n">
        <v>0.09</v>
      </c>
      <c r="I287" s="68" t="n">
        <v>919</v>
      </c>
      <c r="J287" s="68" t="s">
        <v>1170</v>
      </c>
      <c r="K287" s="68" t="s">
        <v>876</v>
      </c>
    </row>
    <row r="288" customFormat="false" ht="14.25" hidden="false" customHeight="true" outlineLevel="0" collapsed="false">
      <c r="A288" s="68" t="s">
        <v>852</v>
      </c>
      <c r="B288" s="68" t="n">
        <v>1566</v>
      </c>
      <c r="C288" s="68" t="s">
        <v>67</v>
      </c>
      <c r="D288" s="68" t="s">
        <v>68</v>
      </c>
      <c r="E288" s="68" t="n">
        <v>2025</v>
      </c>
      <c r="F288" s="68" t="s">
        <v>797</v>
      </c>
      <c r="G288" s="68" t="s">
        <v>863</v>
      </c>
      <c r="H288" s="68" t="n">
        <v>0.41</v>
      </c>
      <c r="I288" s="68" t="n">
        <v>3004</v>
      </c>
      <c r="J288" s="68" t="s">
        <v>1171</v>
      </c>
      <c r="K288" s="68"/>
    </row>
    <row r="289" customFormat="false" ht="14.25" hidden="false" customHeight="true" outlineLevel="0" collapsed="false">
      <c r="A289" s="68" t="s">
        <v>852</v>
      </c>
      <c r="B289" s="68" t="n">
        <v>1567</v>
      </c>
      <c r="C289" s="68" t="s">
        <v>67</v>
      </c>
      <c r="D289" s="68" t="s">
        <v>68</v>
      </c>
      <c r="E289" s="68" t="n">
        <v>2025</v>
      </c>
      <c r="F289" s="68" t="s">
        <v>805</v>
      </c>
      <c r="G289" s="68" t="s">
        <v>61</v>
      </c>
      <c r="H289" s="68" t="n">
        <v>0.54</v>
      </c>
      <c r="I289" s="68" t="n">
        <v>967</v>
      </c>
      <c r="J289" s="68" t="s">
        <v>1172</v>
      </c>
      <c r="K289" s="68"/>
    </row>
    <row r="290" customFormat="false" ht="14.25" hidden="false" customHeight="true" outlineLevel="0" collapsed="false">
      <c r="A290" s="68" t="s">
        <v>852</v>
      </c>
      <c r="B290" s="68" t="n">
        <v>1568</v>
      </c>
      <c r="C290" s="68" t="s">
        <v>67</v>
      </c>
      <c r="D290" s="68" t="s">
        <v>68</v>
      </c>
      <c r="E290" s="68" t="n">
        <v>2025</v>
      </c>
      <c r="F290" s="68" t="s">
        <v>798</v>
      </c>
      <c r="G290" s="68" t="s">
        <v>863</v>
      </c>
      <c r="H290" s="68" t="n">
        <v>0.89</v>
      </c>
      <c r="I290" s="68" t="n">
        <v>4328</v>
      </c>
      <c r="J290" s="68" t="s">
        <v>1173</v>
      </c>
      <c r="K290" s="68" t="s">
        <v>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14" min="3" style="1" width="14"/>
    <col collapsed="false" customWidth="true" hidden="false" outlineLevel="0" max="26" min="15" style="1" width="16"/>
  </cols>
  <sheetData>
    <row r="1" customFormat="false" ht="33.75" hidden="false" customHeight="true" outlineLevel="0" collapsed="false">
      <c r="A1" s="5" t="s">
        <v>838</v>
      </c>
      <c r="B1" s="5" t="s">
        <v>839</v>
      </c>
      <c r="C1" s="5" t="s">
        <v>1174</v>
      </c>
      <c r="D1" s="5" t="s">
        <v>575</v>
      </c>
      <c r="E1" s="5" t="s">
        <v>576</v>
      </c>
      <c r="F1" s="5" t="s">
        <v>1175</v>
      </c>
      <c r="G1" s="5" t="s">
        <v>1176</v>
      </c>
      <c r="H1" s="5" t="s">
        <v>1177</v>
      </c>
      <c r="I1" s="5" t="s">
        <v>1178</v>
      </c>
      <c r="J1" s="5" t="s">
        <v>1179</v>
      </c>
      <c r="K1" s="5" t="s">
        <v>1180</v>
      </c>
      <c r="L1" s="5" t="s">
        <v>1181</v>
      </c>
      <c r="M1" s="5" t="s">
        <v>1182</v>
      </c>
      <c r="N1" s="5" t="s">
        <v>1183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1184</v>
      </c>
      <c r="B2" s="68" t="n">
        <v>1569</v>
      </c>
      <c r="C2" s="68" t="s">
        <v>1185</v>
      </c>
      <c r="D2" s="68" t="s">
        <v>16</v>
      </c>
      <c r="E2" s="68" t="s">
        <v>17</v>
      </c>
      <c r="F2" s="68" t="s">
        <v>1186</v>
      </c>
      <c r="G2" s="68" t="s">
        <v>1187</v>
      </c>
      <c r="H2" s="68" t="n">
        <v>645</v>
      </c>
      <c r="I2" s="68" t="s">
        <v>1188</v>
      </c>
      <c r="J2" s="68" t="n">
        <v>84</v>
      </c>
      <c r="K2" s="68"/>
      <c r="L2" s="68"/>
      <c r="M2" s="68"/>
      <c r="N2" s="68"/>
    </row>
    <row r="3" customFormat="false" ht="14.25" hidden="false" customHeight="true" outlineLevel="0" collapsed="false">
      <c r="A3" s="68" t="s">
        <v>1184</v>
      </c>
      <c r="B3" s="68" t="n">
        <v>1570</v>
      </c>
      <c r="C3" s="68" t="s">
        <v>1185</v>
      </c>
      <c r="D3" s="68" t="s">
        <v>16</v>
      </c>
      <c r="E3" s="68" t="s">
        <v>17</v>
      </c>
      <c r="F3" s="68" t="s">
        <v>1189</v>
      </c>
      <c r="G3" s="68" t="s">
        <v>1190</v>
      </c>
      <c r="H3" s="68"/>
      <c r="I3" s="68"/>
      <c r="J3" s="68" t="n">
        <v>61</v>
      </c>
      <c r="K3" s="68" t="n">
        <v>16.2</v>
      </c>
      <c r="L3" s="68" t="n">
        <v>0</v>
      </c>
      <c r="M3" s="68"/>
      <c r="N3" s="68"/>
    </row>
    <row r="4" customFormat="false" ht="14.25" hidden="false" customHeight="true" outlineLevel="0" collapsed="false">
      <c r="A4" s="68" t="s">
        <v>1184</v>
      </c>
      <c r="B4" s="68" t="n">
        <v>1571</v>
      </c>
      <c r="C4" s="68" t="s">
        <v>1185</v>
      </c>
      <c r="D4" s="68" t="s">
        <v>16</v>
      </c>
      <c r="E4" s="68" t="s">
        <v>17</v>
      </c>
      <c r="F4" s="68" t="s">
        <v>1191</v>
      </c>
      <c r="G4" s="68" t="s">
        <v>1190</v>
      </c>
      <c r="H4" s="68"/>
      <c r="I4" s="68"/>
      <c r="J4" s="68" t="n">
        <v>54</v>
      </c>
      <c r="K4" s="68" t="n">
        <v>12</v>
      </c>
      <c r="L4" s="68" t="n">
        <v>5.9</v>
      </c>
      <c r="M4" s="68"/>
      <c r="N4" s="68"/>
    </row>
    <row r="5" customFormat="false" ht="14.25" hidden="false" customHeight="true" outlineLevel="0" collapsed="false">
      <c r="A5" s="68" t="s">
        <v>1184</v>
      </c>
      <c r="B5" s="68" t="n">
        <v>1572</v>
      </c>
      <c r="C5" s="68" t="s">
        <v>1185</v>
      </c>
      <c r="D5" s="68" t="s">
        <v>16</v>
      </c>
      <c r="E5" s="68" t="s">
        <v>17</v>
      </c>
      <c r="F5" s="68" t="s">
        <v>1192</v>
      </c>
      <c r="G5" s="68" t="s">
        <v>1190</v>
      </c>
      <c r="H5" s="68"/>
      <c r="I5" s="68"/>
      <c r="J5" s="68" t="n">
        <v>93</v>
      </c>
      <c r="K5" s="68" t="n">
        <v>7.5</v>
      </c>
      <c r="L5" s="68" t="n">
        <v>4.4</v>
      </c>
      <c r="M5" s="68"/>
      <c r="N5" s="68"/>
    </row>
    <row r="6" customFormat="false" ht="14.25" hidden="false" customHeight="true" outlineLevel="0" collapsed="false">
      <c r="A6" s="68" t="s">
        <v>1184</v>
      </c>
      <c r="B6" s="68" t="n">
        <v>1573</v>
      </c>
      <c r="C6" s="68" t="s">
        <v>1185</v>
      </c>
      <c r="D6" s="68" t="s">
        <v>16</v>
      </c>
      <c r="E6" s="68" t="s">
        <v>17</v>
      </c>
      <c r="F6" s="68" t="s">
        <v>1193</v>
      </c>
      <c r="G6" s="68" t="s">
        <v>1187</v>
      </c>
      <c r="H6" s="68" t="n">
        <v>717</v>
      </c>
      <c r="I6" s="68" t="s">
        <v>1194</v>
      </c>
      <c r="J6" s="68" t="n">
        <v>60</v>
      </c>
      <c r="K6" s="68"/>
      <c r="L6" s="68"/>
      <c r="M6" s="68"/>
      <c r="N6" s="68"/>
    </row>
    <row r="7" customFormat="false" ht="14.25" hidden="false" customHeight="true" outlineLevel="0" collapsed="false">
      <c r="A7" s="68" t="s">
        <v>1184</v>
      </c>
      <c r="B7" s="68" t="n">
        <v>1574</v>
      </c>
      <c r="C7" s="68" t="s">
        <v>1185</v>
      </c>
      <c r="D7" s="68" t="s">
        <v>16</v>
      </c>
      <c r="E7" s="68" t="s">
        <v>17</v>
      </c>
      <c r="F7" s="68" t="s">
        <v>1195</v>
      </c>
      <c r="G7" s="68" t="s">
        <v>1196</v>
      </c>
      <c r="H7" s="68"/>
      <c r="I7" s="68"/>
      <c r="J7" s="68"/>
      <c r="K7" s="68"/>
      <c r="L7" s="68"/>
      <c r="M7" s="68" t="n">
        <v>1.7</v>
      </c>
      <c r="N7" s="68" t="n">
        <v>0.85</v>
      </c>
    </row>
    <row r="8" customFormat="false" ht="14.25" hidden="false" customHeight="true" outlineLevel="0" collapsed="false">
      <c r="A8" s="68" t="s">
        <v>1184</v>
      </c>
      <c r="B8" s="68" t="n">
        <v>1575</v>
      </c>
      <c r="C8" s="68" t="s">
        <v>1185</v>
      </c>
      <c r="D8" s="68" t="s">
        <v>16</v>
      </c>
      <c r="E8" s="68" t="s">
        <v>17</v>
      </c>
      <c r="F8" s="68" t="s">
        <v>1197</v>
      </c>
      <c r="G8" s="68" t="s">
        <v>1187</v>
      </c>
      <c r="H8" s="68" t="n">
        <v>614</v>
      </c>
      <c r="I8" s="68" t="s">
        <v>1188</v>
      </c>
      <c r="J8" s="68" t="n">
        <v>99</v>
      </c>
      <c r="K8" s="68"/>
      <c r="L8" s="68"/>
      <c r="M8" s="68"/>
      <c r="N8" s="68"/>
    </row>
    <row r="9" customFormat="false" ht="14.25" hidden="false" customHeight="true" outlineLevel="0" collapsed="false">
      <c r="A9" s="68" t="s">
        <v>1184</v>
      </c>
      <c r="B9" s="68" t="n">
        <v>1576</v>
      </c>
      <c r="C9" s="68" t="s">
        <v>1185</v>
      </c>
      <c r="D9" s="68" t="s">
        <v>16</v>
      </c>
      <c r="E9" s="68" t="s">
        <v>17</v>
      </c>
      <c r="F9" s="68" t="s">
        <v>1198</v>
      </c>
      <c r="G9" s="68" t="s">
        <v>1187</v>
      </c>
      <c r="H9" s="68" t="n">
        <v>86</v>
      </c>
      <c r="I9" s="68" t="s">
        <v>1194</v>
      </c>
      <c r="J9" s="68" t="n">
        <v>15</v>
      </c>
      <c r="K9" s="68"/>
      <c r="L9" s="68"/>
      <c r="M9" s="68"/>
      <c r="N9" s="68"/>
    </row>
    <row r="10" customFormat="false" ht="14.25" hidden="false" customHeight="true" outlineLevel="0" collapsed="false">
      <c r="A10" s="68" t="s">
        <v>1184</v>
      </c>
      <c r="B10" s="68" t="n">
        <v>1577</v>
      </c>
      <c r="C10" s="68" t="s">
        <v>1185</v>
      </c>
      <c r="D10" s="68" t="s">
        <v>16</v>
      </c>
      <c r="E10" s="68" t="s">
        <v>17</v>
      </c>
      <c r="F10" s="68" t="s">
        <v>1199</v>
      </c>
      <c r="G10" s="68" t="s">
        <v>1196</v>
      </c>
      <c r="H10" s="68"/>
      <c r="I10" s="68"/>
      <c r="J10" s="68" t="n">
        <v>87</v>
      </c>
      <c r="K10" s="68"/>
      <c r="L10" s="68"/>
      <c r="M10" s="68" t="n">
        <v>1.1</v>
      </c>
      <c r="N10" s="68" t="n">
        <v>0.84</v>
      </c>
    </row>
    <row r="11" customFormat="false" ht="14.25" hidden="false" customHeight="true" outlineLevel="0" collapsed="false">
      <c r="A11" s="68" t="s">
        <v>1184</v>
      </c>
      <c r="B11" s="68" t="n">
        <v>1578</v>
      </c>
      <c r="C11" s="68" t="s">
        <v>1185</v>
      </c>
      <c r="D11" s="68" t="s">
        <v>16</v>
      </c>
      <c r="E11" s="68" t="s">
        <v>17</v>
      </c>
      <c r="F11" s="68" t="s">
        <v>1200</v>
      </c>
      <c r="G11" s="68" t="s">
        <v>1196</v>
      </c>
      <c r="H11" s="68"/>
      <c r="I11" s="68"/>
      <c r="J11" s="68"/>
      <c r="K11" s="68"/>
      <c r="L11" s="68"/>
      <c r="M11" s="68" t="n">
        <v>3.8</v>
      </c>
      <c r="N11" s="68" t="n">
        <v>3.3</v>
      </c>
    </row>
    <row r="12" customFormat="false" ht="14.25" hidden="false" customHeight="true" outlineLevel="0" collapsed="false">
      <c r="A12" s="68" t="s">
        <v>1184</v>
      </c>
      <c r="B12" s="68" t="n">
        <v>1579</v>
      </c>
      <c r="C12" s="68" t="s">
        <v>1185</v>
      </c>
      <c r="D12" s="68" t="s">
        <v>16</v>
      </c>
      <c r="E12" s="68" t="s">
        <v>17</v>
      </c>
      <c r="F12" s="68" t="s">
        <v>1201</v>
      </c>
      <c r="G12" s="68" t="s">
        <v>1187</v>
      </c>
      <c r="H12" s="68" t="n">
        <v>877</v>
      </c>
      <c r="I12" s="68" t="s">
        <v>1188</v>
      </c>
      <c r="J12" s="68" t="n">
        <v>14</v>
      </c>
      <c r="K12" s="68"/>
      <c r="L12" s="68"/>
      <c r="M12" s="68"/>
      <c r="N12" s="68"/>
    </row>
    <row r="13" customFormat="false" ht="14.25" hidden="false" customHeight="true" outlineLevel="0" collapsed="false">
      <c r="A13" s="68" t="s">
        <v>1184</v>
      </c>
      <c r="B13" s="68" t="n">
        <v>1580</v>
      </c>
      <c r="C13" s="68" t="s">
        <v>1185</v>
      </c>
      <c r="D13" s="68" t="s">
        <v>16</v>
      </c>
      <c r="E13" s="68" t="s">
        <v>17</v>
      </c>
      <c r="F13" s="68" t="s">
        <v>1202</v>
      </c>
      <c r="G13" s="68" t="s">
        <v>1190</v>
      </c>
      <c r="H13" s="68"/>
      <c r="I13" s="68"/>
      <c r="J13" s="68"/>
      <c r="K13" s="68" t="n">
        <v>15.8</v>
      </c>
      <c r="L13" s="68" t="n">
        <v>1.8</v>
      </c>
      <c r="M13" s="68"/>
      <c r="N13" s="68"/>
    </row>
    <row r="14" customFormat="false" ht="14.25" hidden="false" customHeight="true" outlineLevel="0" collapsed="false">
      <c r="A14" s="68" t="s">
        <v>1184</v>
      </c>
      <c r="B14" s="68" t="n">
        <v>1581</v>
      </c>
      <c r="C14" s="68" t="s">
        <v>1185</v>
      </c>
      <c r="D14" s="68" t="s">
        <v>16</v>
      </c>
      <c r="E14" s="68" t="s">
        <v>17</v>
      </c>
      <c r="F14" s="68" t="s">
        <v>1203</v>
      </c>
      <c r="G14" s="68" t="s">
        <v>1187</v>
      </c>
      <c r="H14" s="68" t="n">
        <v>288</v>
      </c>
      <c r="I14" s="68" t="s">
        <v>1194</v>
      </c>
      <c r="J14" s="68" t="n">
        <v>40</v>
      </c>
      <c r="K14" s="68"/>
      <c r="L14" s="68"/>
      <c r="M14" s="68"/>
      <c r="N14" s="68"/>
    </row>
    <row r="15" customFormat="false" ht="14.25" hidden="false" customHeight="true" outlineLevel="0" collapsed="false">
      <c r="A15" s="68" t="s">
        <v>1184</v>
      </c>
      <c r="B15" s="68" t="n">
        <v>1582</v>
      </c>
      <c r="C15" s="68" t="s">
        <v>1185</v>
      </c>
      <c r="D15" s="68" t="s">
        <v>16</v>
      </c>
      <c r="E15" s="68" t="s">
        <v>17</v>
      </c>
      <c r="F15" s="68" t="s">
        <v>1204</v>
      </c>
      <c r="G15" s="68" t="s">
        <v>1196</v>
      </c>
      <c r="H15" s="68"/>
      <c r="I15" s="68"/>
      <c r="J15" s="68" t="n">
        <v>47</v>
      </c>
      <c r="K15" s="68"/>
      <c r="L15" s="68"/>
      <c r="M15" s="68" t="n">
        <v>0.7</v>
      </c>
      <c r="N15" s="68" t="n">
        <v>1.13</v>
      </c>
    </row>
    <row r="16" customFormat="false" ht="14.25" hidden="false" customHeight="true" outlineLevel="0" collapsed="false">
      <c r="A16" s="68" t="s">
        <v>1184</v>
      </c>
      <c r="B16" s="68" t="n">
        <v>1583</v>
      </c>
      <c r="C16" s="68" t="s">
        <v>1185</v>
      </c>
      <c r="D16" s="68" t="s">
        <v>16</v>
      </c>
      <c r="E16" s="68" t="s">
        <v>17</v>
      </c>
      <c r="F16" s="68" t="s">
        <v>1205</v>
      </c>
      <c r="G16" s="68" t="s">
        <v>1196</v>
      </c>
      <c r="H16" s="68"/>
      <c r="I16" s="68"/>
      <c r="J16" s="68"/>
      <c r="K16" s="68"/>
      <c r="L16" s="68"/>
      <c r="M16" s="68" t="n">
        <v>4</v>
      </c>
      <c r="N16" s="68" t="n">
        <v>2.89</v>
      </c>
    </row>
    <row r="17" customFormat="false" ht="14.25" hidden="false" customHeight="true" outlineLevel="0" collapsed="false">
      <c r="A17" s="68" t="s">
        <v>1184</v>
      </c>
      <c r="B17" s="68" t="n">
        <v>1584</v>
      </c>
      <c r="C17" s="68" t="s">
        <v>1185</v>
      </c>
      <c r="D17" s="68" t="s">
        <v>16</v>
      </c>
      <c r="E17" s="68" t="s">
        <v>17</v>
      </c>
      <c r="F17" s="68" t="s">
        <v>1206</v>
      </c>
      <c r="G17" s="68" t="s">
        <v>1190</v>
      </c>
      <c r="H17" s="68"/>
      <c r="I17" s="68"/>
      <c r="J17" s="68"/>
      <c r="K17" s="68" t="n">
        <v>6.9</v>
      </c>
      <c r="L17" s="68" t="n">
        <v>1.6</v>
      </c>
      <c r="M17" s="68"/>
      <c r="N17" s="68"/>
    </row>
    <row r="18" customFormat="false" ht="14.25" hidden="false" customHeight="true" outlineLevel="0" collapsed="false">
      <c r="A18" s="68" t="s">
        <v>1184</v>
      </c>
      <c r="B18" s="68" t="n">
        <v>1585</v>
      </c>
      <c r="C18" s="68" t="s">
        <v>1185</v>
      </c>
      <c r="D18" s="68" t="s">
        <v>16</v>
      </c>
      <c r="E18" s="68" t="s">
        <v>17</v>
      </c>
      <c r="F18" s="68" t="s">
        <v>1207</v>
      </c>
      <c r="G18" s="68" t="s">
        <v>1190</v>
      </c>
      <c r="H18" s="68"/>
      <c r="I18" s="68"/>
      <c r="J18" s="68"/>
      <c r="K18" s="68" t="n">
        <v>12</v>
      </c>
      <c r="L18" s="68" t="n">
        <v>1.3</v>
      </c>
      <c r="M18" s="68"/>
      <c r="N18" s="68"/>
    </row>
    <row r="19" customFormat="false" ht="14.25" hidden="false" customHeight="true" outlineLevel="0" collapsed="false">
      <c r="A19" s="68" t="s">
        <v>1184</v>
      </c>
      <c r="B19" s="68" t="n">
        <v>1586</v>
      </c>
      <c r="C19" s="68" t="s">
        <v>1185</v>
      </c>
      <c r="D19" s="68" t="s">
        <v>16</v>
      </c>
      <c r="E19" s="68" t="s">
        <v>17</v>
      </c>
      <c r="F19" s="68" t="s">
        <v>1208</v>
      </c>
      <c r="G19" s="68" t="s">
        <v>1187</v>
      </c>
      <c r="H19" s="68" t="n">
        <v>697</v>
      </c>
      <c r="I19" s="68" t="s">
        <v>1209</v>
      </c>
      <c r="J19" s="68" t="n">
        <v>25</v>
      </c>
      <c r="K19" s="68"/>
      <c r="L19" s="68"/>
      <c r="M19" s="68"/>
      <c r="N19" s="68"/>
    </row>
    <row r="20" customFormat="false" ht="14.25" hidden="false" customHeight="true" outlineLevel="0" collapsed="false">
      <c r="A20" s="68" t="s">
        <v>1184</v>
      </c>
      <c r="B20" s="68" t="n">
        <v>1587</v>
      </c>
      <c r="C20" s="68" t="s">
        <v>1185</v>
      </c>
      <c r="D20" s="68" t="s">
        <v>16</v>
      </c>
      <c r="E20" s="68" t="s">
        <v>17</v>
      </c>
      <c r="F20" s="68" t="s">
        <v>1210</v>
      </c>
      <c r="G20" s="68" t="s">
        <v>1196</v>
      </c>
      <c r="H20" s="68"/>
      <c r="I20" s="68"/>
      <c r="J20" s="68" t="n">
        <v>13</v>
      </c>
      <c r="K20" s="68"/>
      <c r="L20" s="68"/>
      <c r="M20" s="68" t="n">
        <v>0.7</v>
      </c>
      <c r="N20" s="68" t="n">
        <v>2.51</v>
      </c>
    </row>
    <row r="21" customFormat="false" ht="14.25" hidden="false" customHeight="true" outlineLevel="0" collapsed="false">
      <c r="A21" s="68" t="s">
        <v>1184</v>
      </c>
      <c r="B21" s="68" t="n">
        <v>1588</v>
      </c>
      <c r="C21" s="68" t="s">
        <v>1185</v>
      </c>
      <c r="D21" s="68" t="s">
        <v>16</v>
      </c>
      <c r="E21" s="68" t="s">
        <v>17</v>
      </c>
      <c r="F21" s="68" t="s">
        <v>1211</v>
      </c>
      <c r="G21" s="68" t="s">
        <v>1196</v>
      </c>
      <c r="H21" s="68"/>
      <c r="I21" s="68"/>
      <c r="J21" s="68" t="n">
        <v>89</v>
      </c>
      <c r="K21" s="68"/>
      <c r="L21" s="68"/>
      <c r="M21" s="68" t="n">
        <v>3.8</v>
      </c>
      <c r="N21" s="68" t="n">
        <v>1.82</v>
      </c>
    </row>
    <row r="22" customFormat="false" ht="14.25" hidden="false" customHeight="true" outlineLevel="0" collapsed="false">
      <c r="A22" s="68" t="s">
        <v>1184</v>
      </c>
      <c r="B22" s="68" t="n">
        <v>1589</v>
      </c>
      <c r="C22" s="68" t="s">
        <v>1185</v>
      </c>
      <c r="D22" s="68" t="s">
        <v>16</v>
      </c>
      <c r="E22" s="68" t="s">
        <v>17</v>
      </c>
      <c r="F22" s="68" t="s">
        <v>1212</v>
      </c>
      <c r="G22" s="68" t="s">
        <v>1196</v>
      </c>
      <c r="H22" s="68"/>
      <c r="I22" s="68"/>
      <c r="J22" s="68"/>
      <c r="K22" s="68"/>
      <c r="L22" s="68"/>
      <c r="M22" s="68" t="n">
        <v>3.6</v>
      </c>
      <c r="N22" s="68" t="n">
        <v>3.75</v>
      </c>
    </row>
    <row r="23" customFormat="false" ht="14.25" hidden="false" customHeight="true" outlineLevel="0" collapsed="false">
      <c r="A23" s="68" t="s">
        <v>1184</v>
      </c>
      <c r="B23" s="68" t="n">
        <v>1590</v>
      </c>
      <c r="C23" s="68" t="s">
        <v>1185</v>
      </c>
      <c r="D23" s="68" t="s">
        <v>16</v>
      </c>
      <c r="E23" s="68" t="s">
        <v>17</v>
      </c>
      <c r="F23" s="68" t="s">
        <v>1213</v>
      </c>
      <c r="G23" s="68" t="s">
        <v>1187</v>
      </c>
      <c r="H23" s="68" t="n">
        <v>200</v>
      </c>
      <c r="I23" s="68" t="s">
        <v>1209</v>
      </c>
      <c r="J23" s="68" t="n">
        <v>48</v>
      </c>
      <c r="K23" s="68"/>
      <c r="L23" s="68"/>
      <c r="M23" s="68"/>
      <c r="N23" s="68"/>
    </row>
    <row r="24" customFormat="false" ht="14.25" hidden="false" customHeight="true" outlineLevel="0" collapsed="false">
      <c r="A24" s="68" t="s">
        <v>1184</v>
      </c>
      <c r="B24" s="68" t="n">
        <v>1591</v>
      </c>
      <c r="C24" s="68" t="s">
        <v>1185</v>
      </c>
      <c r="D24" s="68" t="s">
        <v>16</v>
      </c>
      <c r="E24" s="68" t="s">
        <v>17</v>
      </c>
      <c r="F24" s="68" t="s">
        <v>1214</v>
      </c>
      <c r="G24" s="68" t="s">
        <v>1187</v>
      </c>
      <c r="H24" s="68" t="n">
        <v>718</v>
      </c>
      <c r="I24" s="68" t="s">
        <v>1194</v>
      </c>
      <c r="J24" s="68" t="n">
        <v>75</v>
      </c>
      <c r="K24" s="68"/>
      <c r="L24" s="68"/>
      <c r="M24" s="68"/>
      <c r="N24" s="68"/>
    </row>
    <row r="25" customFormat="false" ht="14.25" hidden="false" customHeight="true" outlineLevel="0" collapsed="false">
      <c r="A25" s="68" t="s">
        <v>1184</v>
      </c>
      <c r="B25" s="68" t="n">
        <v>1592</v>
      </c>
      <c r="C25" s="68" t="s">
        <v>1185</v>
      </c>
      <c r="D25" s="68" t="s">
        <v>16</v>
      </c>
      <c r="E25" s="68" t="s">
        <v>17</v>
      </c>
      <c r="F25" s="68" t="s">
        <v>1215</v>
      </c>
      <c r="G25" s="68" t="s">
        <v>1196</v>
      </c>
      <c r="H25" s="68"/>
      <c r="I25" s="68"/>
      <c r="J25" s="68" t="n">
        <v>55</v>
      </c>
      <c r="K25" s="68"/>
      <c r="L25" s="68"/>
      <c r="M25" s="68" t="n">
        <v>2.7</v>
      </c>
      <c r="N25" s="68" t="n">
        <v>1.16</v>
      </c>
    </row>
    <row r="26" customFormat="false" ht="14.25" hidden="false" customHeight="true" outlineLevel="0" collapsed="false">
      <c r="A26" s="68" t="s">
        <v>1184</v>
      </c>
      <c r="B26" s="68" t="n">
        <v>1593</v>
      </c>
      <c r="C26" s="68" t="s">
        <v>1185</v>
      </c>
      <c r="D26" s="68" t="s">
        <v>16</v>
      </c>
      <c r="E26" s="68" t="s">
        <v>17</v>
      </c>
      <c r="F26" s="68" t="s">
        <v>1216</v>
      </c>
      <c r="G26" s="68" t="s">
        <v>1196</v>
      </c>
      <c r="H26" s="68"/>
      <c r="I26" s="68"/>
      <c r="J26" s="68" t="n">
        <v>45</v>
      </c>
      <c r="K26" s="68"/>
      <c r="L26" s="68"/>
      <c r="M26" s="68" t="n">
        <v>0.7</v>
      </c>
      <c r="N26" s="68" t="n">
        <v>3.13</v>
      </c>
    </row>
    <row r="27" customFormat="false" ht="14.25" hidden="false" customHeight="true" outlineLevel="0" collapsed="false">
      <c r="A27" s="68" t="s">
        <v>1184</v>
      </c>
      <c r="B27" s="68" t="n">
        <v>1594</v>
      </c>
      <c r="C27" s="68" t="s">
        <v>1217</v>
      </c>
      <c r="D27" s="68" t="s">
        <v>67</v>
      </c>
      <c r="E27" s="68" t="s">
        <v>68</v>
      </c>
      <c r="F27" s="68" t="s">
        <v>1218</v>
      </c>
      <c r="G27" s="68" t="s">
        <v>1187</v>
      </c>
      <c r="H27" s="68" t="n">
        <v>608</v>
      </c>
      <c r="I27" s="68" t="s">
        <v>1209</v>
      </c>
      <c r="J27" s="68" t="n">
        <v>72</v>
      </c>
      <c r="K27" s="68"/>
      <c r="L27" s="68"/>
      <c r="M27" s="68"/>
      <c r="N27" s="68"/>
    </row>
    <row r="28" customFormat="false" ht="14.25" hidden="false" customHeight="true" outlineLevel="0" collapsed="false">
      <c r="A28" s="68" t="s">
        <v>1184</v>
      </c>
      <c r="B28" s="68" t="n">
        <v>1595</v>
      </c>
      <c r="C28" s="68" t="s">
        <v>1217</v>
      </c>
      <c r="D28" s="68" t="s">
        <v>67</v>
      </c>
      <c r="E28" s="68" t="s">
        <v>68</v>
      </c>
      <c r="F28" s="68" t="s">
        <v>1219</v>
      </c>
      <c r="G28" s="68" t="s">
        <v>1190</v>
      </c>
      <c r="H28" s="68"/>
      <c r="I28" s="68"/>
      <c r="J28" s="68" t="n">
        <v>73</v>
      </c>
      <c r="K28" s="68" t="n">
        <v>9.1</v>
      </c>
      <c r="L28" s="68" t="n">
        <v>8.4</v>
      </c>
      <c r="M28" s="68"/>
      <c r="N28" s="68"/>
    </row>
    <row r="29" customFormat="false" ht="14.25" hidden="false" customHeight="true" outlineLevel="0" collapsed="false">
      <c r="A29" s="68" t="s">
        <v>1184</v>
      </c>
      <c r="B29" s="68" t="n">
        <v>1596</v>
      </c>
      <c r="C29" s="68" t="s">
        <v>1217</v>
      </c>
      <c r="D29" s="68" t="s">
        <v>67</v>
      </c>
      <c r="E29" s="68" t="s">
        <v>68</v>
      </c>
      <c r="F29" s="68" t="s">
        <v>1220</v>
      </c>
      <c r="G29" s="68" t="s">
        <v>1187</v>
      </c>
      <c r="H29" s="68" t="n">
        <v>324</v>
      </c>
      <c r="I29" s="68" t="s">
        <v>1194</v>
      </c>
      <c r="J29" s="68" t="n">
        <v>24</v>
      </c>
      <c r="K29" s="68"/>
      <c r="L29" s="68"/>
      <c r="M29" s="68"/>
      <c r="N29" s="68"/>
    </row>
    <row r="30" customFormat="false" ht="14.25" hidden="false" customHeight="true" outlineLevel="0" collapsed="false">
      <c r="A30" s="68" t="s">
        <v>1184</v>
      </c>
      <c r="B30" s="68" t="n">
        <v>1597</v>
      </c>
      <c r="C30" s="68" t="s">
        <v>1217</v>
      </c>
      <c r="D30" s="68" t="s">
        <v>67</v>
      </c>
      <c r="E30" s="68" t="s">
        <v>68</v>
      </c>
      <c r="F30" s="68" t="s">
        <v>1221</v>
      </c>
      <c r="G30" s="68" t="s">
        <v>1196</v>
      </c>
      <c r="H30" s="68"/>
      <c r="I30" s="68"/>
      <c r="J30" s="68" t="n">
        <v>98</v>
      </c>
      <c r="K30" s="68"/>
      <c r="L30" s="68"/>
      <c r="M30" s="68" t="n">
        <v>3.4</v>
      </c>
      <c r="N30" s="68" t="n">
        <v>0.9</v>
      </c>
    </row>
    <row r="31" customFormat="false" ht="14.25" hidden="false" customHeight="true" outlineLevel="0" collapsed="false">
      <c r="A31" s="68" t="s">
        <v>1184</v>
      </c>
      <c r="B31" s="68" t="n">
        <v>1598</v>
      </c>
      <c r="C31" s="68" t="s">
        <v>1217</v>
      </c>
      <c r="D31" s="68" t="s">
        <v>67</v>
      </c>
      <c r="E31" s="68" t="s">
        <v>68</v>
      </c>
      <c r="F31" s="68" t="s">
        <v>1192</v>
      </c>
      <c r="G31" s="68" t="s">
        <v>1187</v>
      </c>
      <c r="H31" s="68" t="n">
        <v>773</v>
      </c>
      <c r="I31" s="68" t="s">
        <v>1194</v>
      </c>
      <c r="J31" s="68" t="n">
        <v>41</v>
      </c>
      <c r="K31" s="68"/>
      <c r="L31" s="68"/>
      <c r="M31" s="68"/>
      <c r="N31" s="68"/>
    </row>
    <row r="32" customFormat="false" ht="14.25" hidden="false" customHeight="true" outlineLevel="0" collapsed="false">
      <c r="A32" s="68" t="s">
        <v>1184</v>
      </c>
      <c r="B32" s="68" t="n">
        <v>1599</v>
      </c>
      <c r="C32" s="68" t="s">
        <v>1217</v>
      </c>
      <c r="D32" s="68" t="s">
        <v>67</v>
      </c>
      <c r="E32" s="68" t="s">
        <v>68</v>
      </c>
      <c r="F32" s="68" t="s">
        <v>1222</v>
      </c>
      <c r="G32" s="68" t="s">
        <v>1196</v>
      </c>
      <c r="H32" s="68"/>
      <c r="I32" s="68"/>
      <c r="J32" s="68" t="n">
        <v>27</v>
      </c>
      <c r="K32" s="68"/>
      <c r="L32" s="68"/>
      <c r="M32" s="68" t="n">
        <v>2.8</v>
      </c>
      <c r="N32" s="68" t="n">
        <v>1.67</v>
      </c>
    </row>
    <row r="33" customFormat="false" ht="14.25" hidden="false" customHeight="true" outlineLevel="0" collapsed="false">
      <c r="A33" s="68" t="s">
        <v>1184</v>
      </c>
      <c r="B33" s="68" t="n">
        <v>1600</v>
      </c>
      <c r="C33" s="68" t="s">
        <v>1217</v>
      </c>
      <c r="D33" s="68" t="s">
        <v>67</v>
      </c>
      <c r="E33" s="68" t="s">
        <v>68</v>
      </c>
      <c r="F33" s="68" t="s">
        <v>1223</v>
      </c>
      <c r="G33" s="68" t="s">
        <v>1196</v>
      </c>
      <c r="H33" s="68"/>
      <c r="I33" s="68"/>
      <c r="J33" s="68" t="n">
        <v>20</v>
      </c>
      <c r="K33" s="68"/>
      <c r="L33" s="68"/>
      <c r="M33" s="68" t="n">
        <v>3.1</v>
      </c>
      <c r="N33" s="68" t="n">
        <v>1.77</v>
      </c>
    </row>
    <row r="34" customFormat="false" ht="14.25" hidden="false" customHeight="true" outlineLevel="0" collapsed="false">
      <c r="A34" s="68" t="s">
        <v>1184</v>
      </c>
      <c r="B34" s="68" t="n">
        <v>1601</v>
      </c>
      <c r="C34" s="68" t="s">
        <v>1217</v>
      </c>
      <c r="D34" s="68" t="s">
        <v>67</v>
      </c>
      <c r="E34" s="68" t="s">
        <v>68</v>
      </c>
      <c r="F34" s="68" t="s">
        <v>1224</v>
      </c>
      <c r="G34" s="68" t="s">
        <v>1196</v>
      </c>
      <c r="H34" s="68"/>
      <c r="I34" s="68"/>
      <c r="J34" s="68" t="n">
        <v>19</v>
      </c>
      <c r="K34" s="68"/>
      <c r="L34" s="68"/>
      <c r="M34" s="68" t="n">
        <v>1.9</v>
      </c>
      <c r="N34" s="68" t="n">
        <v>2.57</v>
      </c>
    </row>
    <row r="35" customFormat="false" ht="14.25" hidden="false" customHeight="true" outlineLevel="0" collapsed="false">
      <c r="A35" s="68" t="s">
        <v>1184</v>
      </c>
      <c r="B35" s="68" t="n">
        <v>1602</v>
      </c>
      <c r="C35" s="68" t="s">
        <v>1217</v>
      </c>
      <c r="D35" s="68" t="s">
        <v>67</v>
      </c>
      <c r="E35" s="68" t="s">
        <v>68</v>
      </c>
      <c r="F35" s="68" t="s">
        <v>1225</v>
      </c>
      <c r="G35" s="68" t="s">
        <v>1190</v>
      </c>
      <c r="H35" s="68"/>
      <c r="I35" s="68"/>
      <c r="J35" s="68"/>
      <c r="K35" s="68" t="n">
        <v>24.9</v>
      </c>
      <c r="L35" s="68" t="n">
        <v>8.7</v>
      </c>
      <c r="M35" s="68"/>
      <c r="N35" s="68"/>
    </row>
    <row r="36" customFormat="false" ht="14.25" hidden="false" customHeight="true" outlineLevel="0" collapsed="false">
      <c r="A36" s="68" t="s">
        <v>1184</v>
      </c>
      <c r="B36" s="68" t="n">
        <v>1603</v>
      </c>
      <c r="C36" s="68" t="s">
        <v>1217</v>
      </c>
      <c r="D36" s="68" t="s">
        <v>67</v>
      </c>
      <c r="E36" s="68" t="s">
        <v>68</v>
      </c>
      <c r="F36" s="68" t="s">
        <v>1226</v>
      </c>
      <c r="G36" s="68" t="s">
        <v>1190</v>
      </c>
      <c r="H36" s="68"/>
      <c r="I36" s="68"/>
      <c r="J36" s="68" t="n">
        <v>28</v>
      </c>
      <c r="K36" s="68" t="n">
        <v>8.4</v>
      </c>
      <c r="L36" s="68" t="n">
        <v>0</v>
      </c>
      <c r="M36" s="68"/>
      <c r="N36" s="68"/>
    </row>
    <row r="37" customFormat="false" ht="14.25" hidden="false" customHeight="true" outlineLevel="0" collapsed="false">
      <c r="A37" s="68" t="s">
        <v>1184</v>
      </c>
      <c r="B37" s="68" t="n">
        <v>1604</v>
      </c>
      <c r="C37" s="68" t="s">
        <v>1217</v>
      </c>
      <c r="D37" s="68" t="s">
        <v>67</v>
      </c>
      <c r="E37" s="68" t="s">
        <v>68</v>
      </c>
      <c r="F37" s="68" t="s">
        <v>1227</v>
      </c>
      <c r="G37" s="68" t="s">
        <v>1196</v>
      </c>
      <c r="H37" s="68"/>
      <c r="I37" s="68"/>
      <c r="J37" s="68" t="n">
        <v>89</v>
      </c>
      <c r="K37" s="68"/>
      <c r="L37" s="68"/>
      <c r="M37" s="68" t="n">
        <v>4.4</v>
      </c>
      <c r="N37" s="68" t="n">
        <v>2.01</v>
      </c>
    </row>
    <row r="38" customFormat="false" ht="14.25" hidden="false" customHeight="true" outlineLevel="0" collapsed="false">
      <c r="A38" s="68" t="s">
        <v>1184</v>
      </c>
      <c r="B38" s="68" t="n">
        <v>1605</v>
      </c>
      <c r="C38" s="68" t="s">
        <v>1217</v>
      </c>
      <c r="D38" s="68" t="s">
        <v>67</v>
      </c>
      <c r="E38" s="68" t="s">
        <v>68</v>
      </c>
      <c r="F38" s="68" t="s">
        <v>1228</v>
      </c>
      <c r="G38" s="68" t="s">
        <v>1196</v>
      </c>
      <c r="H38" s="68"/>
      <c r="I38" s="68"/>
      <c r="J38" s="68" t="n">
        <v>61</v>
      </c>
      <c r="K38" s="68"/>
      <c r="L38" s="68"/>
      <c r="M38" s="68" t="n">
        <v>3.2</v>
      </c>
      <c r="N38" s="68" t="n">
        <v>2.31</v>
      </c>
    </row>
    <row r="39" customFormat="false" ht="14.25" hidden="false" customHeight="true" outlineLevel="0" collapsed="false">
      <c r="A39" s="68" t="s">
        <v>1184</v>
      </c>
      <c r="B39" s="68" t="n">
        <v>1606</v>
      </c>
      <c r="C39" s="68" t="s">
        <v>1217</v>
      </c>
      <c r="D39" s="68" t="s">
        <v>67</v>
      </c>
      <c r="E39" s="68" t="s">
        <v>68</v>
      </c>
      <c r="F39" s="68" t="s">
        <v>1229</v>
      </c>
      <c r="G39" s="68" t="s">
        <v>1187</v>
      </c>
      <c r="H39" s="68" t="n">
        <v>225</v>
      </c>
      <c r="I39" s="68" t="s">
        <v>1194</v>
      </c>
      <c r="J39" s="68" t="n">
        <v>89</v>
      </c>
      <c r="K39" s="68"/>
      <c r="L39" s="68"/>
      <c r="M39" s="68"/>
      <c r="N39" s="68"/>
    </row>
    <row r="40" customFormat="false" ht="14.25" hidden="false" customHeight="true" outlineLevel="0" collapsed="false">
      <c r="A40" s="68" t="s">
        <v>1184</v>
      </c>
      <c r="B40" s="68" t="n">
        <v>1607</v>
      </c>
      <c r="C40" s="68" t="s">
        <v>1217</v>
      </c>
      <c r="D40" s="68" t="s">
        <v>67</v>
      </c>
      <c r="E40" s="68" t="s">
        <v>68</v>
      </c>
      <c r="F40" s="68" t="s">
        <v>1230</v>
      </c>
      <c r="G40" s="68" t="s">
        <v>1196</v>
      </c>
      <c r="H40" s="68"/>
      <c r="I40" s="68"/>
      <c r="J40" s="68"/>
      <c r="K40" s="68"/>
      <c r="L40" s="68"/>
      <c r="M40" s="68" t="n">
        <v>0.8</v>
      </c>
      <c r="N40" s="68" t="n">
        <v>0.83</v>
      </c>
    </row>
    <row r="41" customFormat="false" ht="14.25" hidden="false" customHeight="true" outlineLevel="0" collapsed="false">
      <c r="A41" s="68" t="s">
        <v>1184</v>
      </c>
      <c r="B41" s="68" t="n">
        <v>1608</v>
      </c>
      <c r="C41" s="68" t="s">
        <v>1217</v>
      </c>
      <c r="D41" s="68" t="s">
        <v>67</v>
      </c>
      <c r="E41" s="68" t="s">
        <v>68</v>
      </c>
      <c r="F41" s="68" t="s">
        <v>1231</v>
      </c>
      <c r="G41" s="68" t="s">
        <v>1187</v>
      </c>
      <c r="H41" s="68" t="n">
        <v>198</v>
      </c>
      <c r="I41" s="68" t="s">
        <v>1194</v>
      </c>
      <c r="J41" s="68"/>
      <c r="K41" s="68"/>
      <c r="L41" s="68"/>
      <c r="M41" s="68"/>
      <c r="N41" s="68"/>
    </row>
    <row r="42" customFormat="false" ht="14.25" hidden="false" customHeight="true" outlineLevel="0" collapsed="false">
      <c r="A42" s="68" t="s">
        <v>1184</v>
      </c>
      <c r="B42" s="68" t="n">
        <v>1609</v>
      </c>
      <c r="C42" s="68" t="s">
        <v>1217</v>
      </c>
      <c r="D42" s="68" t="s">
        <v>67</v>
      </c>
      <c r="E42" s="68" t="s">
        <v>68</v>
      </c>
      <c r="F42" s="68" t="s">
        <v>1232</v>
      </c>
      <c r="G42" s="68" t="s">
        <v>1196</v>
      </c>
      <c r="H42" s="68"/>
      <c r="I42" s="68"/>
      <c r="J42" s="68" t="n">
        <v>62</v>
      </c>
      <c r="K42" s="68"/>
      <c r="L42" s="68"/>
      <c r="M42" s="68" t="n">
        <v>0.7</v>
      </c>
      <c r="N42" s="68" t="n">
        <v>0.74</v>
      </c>
    </row>
    <row r="43" customFormat="false" ht="14.25" hidden="false" customHeight="true" outlineLevel="0" collapsed="false">
      <c r="A43" s="68" t="s">
        <v>1184</v>
      </c>
      <c r="B43" s="68" t="n">
        <v>1610</v>
      </c>
      <c r="C43" s="68" t="s">
        <v>1217</v>
      </c>
      <c r="D43" s="68" t="s">
        <v>67</v>
      </c>
      <c r="E43" s="68" t="s">
        <v>68</v>
      </c>
      <c r="F43" s="68" t="s">
        <v>1233</v>
      </c>
      <c r="G43" s="68" t="s">
        <v>1196</v>
      </c>
      <c r="H43" s="68"/>
      <c r="I43" s="68"/>
      <c r="J43" s="68"/>
      <c r="K43" s="68"/>
      <c r="L43" s="68"/>
      <c r="M43" s="68" t="n">
        <v>2.3</v>
      </c>
      <c r="N43" s="68" t="n">
        <v>2.63</v>
      </c>
    </row>
    <row r="44" customFormat="false" ht="14.25" hidden="false" customHeight="true" outlineLevel="0" collapsed="false">
      <c r="A44" s="68" t="s">
        <v>1184</v>
      </c>
      <c r="B44" s="68" t="n">
        <v>1611</v>
      </c>
      <c r="C44" s="68" t="s">
        <v>1217</v>
      </c>
      <c r="D44" s="68" t="s">
        <v>67</v>
      </c>
      <c r="E44" s="68" t="s">
        <v>68</v>
      </c>
      <c r="F44" s="68" t="s">
        <v>1234</v>
      </c>
      <c r="G44" s="68" t="s">
        <v>1187</v>
      </c>
      <c r="H44" s="68" t="n">
        <v>94</v>
      </c>
      <c r="I44" s="68" t="s">
        <v>1194</v>
      </c>
      <c r="J44" s="68" t="n">
        <v>11</v>
      </c>
      <c r="K44" s="68"/>
      <c r="L44" s="68"/>
      <c r="M44" s="68"/>
      <c r="N44" s="68"/>
    </row>
    <row r="45" customFormat="false" ht="14.25" hidden="false" customHeight="true" outlineLevel="0" collapsed="false">
      <c r="A45" s="68" t="s">
        <v>1184</v>
      </c>
      <c r="B45" s="68" t="n">
        <v>1612</v>
      </c>
      <c r="C45" s="68" t="s">
        <v>1217</v>
      </c>
      <c r="D45" s="68" t="s">
        <v>67</v>
      </c>
      <c r="E45" s="68" t="s">
        <v>68</v>
      </c>
      <c r="F45" s="68" t="s">
        <v>1203</v>
      </c>
      <c r="G45" s="68" t="s">
        <v>1190</v>
      </c>
      <c r="H45" s="68"/>
      <c r="I45" s="68"/>
      <c r="J45" s="68" t="n">
        <v>75</v>
      </c>
      <c r="K45" s="68" t="n">
        <v>12.2</v>
      </c>
      <c r="L45" s="68" t="n">
        <v>13.8</v>
      </c>
      <c r="M45" s="68"/>
      <c r="N45" s="68"/>
    </row>
    <row r="46" customFormat="false" ht="14.25" hidden="false" customHeight="true" outlineLevel="0" collapsed="false">
      <c r="A46" s="68" t="s">
        <v>1184</v>
      </c>
      <c r="B46" s="68" t="n">
        <v>1613</v>
      </c>
      <c r="C46" s="68" t="s">
        <v>1217</v>
      </c>
      <c r="D46" s="68" t="s">
        <v>67</v>
      </c>
      <c r="E46" s="68" t="s">
        <v>68</v>
      </c>
      <c r="F46" s="68" t="s">
        <v>1235</v>
      </c>
      <c r="G46" s="68" t="s">
        <v>1187</v>
      </c>
      <c r="H46" s="68" t="n">
        <v>580</v>
      </c>
      <c r="I46" s="68" t="s">
        <v>1194</v>
      </c>
      <c r="J46" s="68"/>
      <c r="K46" s="68"/>
      <c r="L46" s="68"/>
      <c r="M46" s="68"/>
      <c r="N46" s="68"/>
    </row>
    <row r="47" customFormat="false" ht="14.25" hidden="false" customHeight="true" outlineLevel="0" collapsed="false">
      <c r="A47" s="68" t="s">
        <v>1184</v>
      </c>
      <c r="B47" s="68" t="n">
        <v>1614</v>
      </c>
      <c r="C47" s="68" t="s">
        <v>1217</v>
      </c>
      <c r="D47" s="68" t="s">
        <v>67</v>
      </c>
      <c r="E47" s="68" t="s">
        <v>68</v>
      </c>
      <c r="F47" s="68" t="s">
        <v>1236</v>
      </c>
      <c r="G47" s="68" t="s">
        <v>1187</v>
      </c>
      <c r="H47" s="68" t="n">
        <v>95</v>
      </c>
      <c r="I47" s="68" t="s">
        <v>1194</v>
      </c>
      <c r="J47" s="68" t="n">
        <v>19</v>
      </c>
      <c r="K47" s="68"/>
      <c r="L47" s="68"/>
      <c r="M47" s="68"/>
      <c r="N47" s="68"/>
    </row>
    <row r="48" customFormat="false" ht="14.25" hidden="false" customHeight="true" outlineLevel="0" collapsed="false">
      <c r="A48" s="68" t="s">
        <v>1184</v>
      </c>
      <c r="B48" s="68" t="n">
        <v>1615</v>
      </c>
      <c r="C48" s="68" t="s">
        <v>1217</v>
      </c>
      <c r="D48" s="68" t="s">
        <v>67</v>
      </c>
      <c r="E48" s="68" t="s">
        <v>68</v>
      </c>
      <c r="F48" s="68" t="s">
        <v>1207</v>
      </c>
      <c r="G48" s="68" t="s">
        <v>1190</v>
      </c>
      <c r="H48" s="68"/>
      <c r="I48" s="68"/>
      <c r="J48" s="68" t="n">
        <v>53</v>
      </c>
      <c r="K48" s="68" t="n">
        <v>12.3</v>
      </c>
      <c r="L48" s="68" t="n">
        <v>10.4</v>
      </c>
      <c r="M48" s="68"/>
      <c r="N48" s="68"/>
    </row>
    <row r="49" customFormat="false" ht="14.25" hidden="false" customHeight="true" outlineLevel="0" collapsed="false">
      <c r="A49" s="68" t="s">
        <v>1184</v>
      </c>
      <c r="B49" s="68" t="n">
        <v>1616</v>
      </c>
      <c r="C49" s="68" t="s">
        <v>1217</v>
      </c>
      <c r="D49" s="68" t="s">
        <v>67</v>
      </c>
      <c r="E49" s="68" t="s">
        <v>68</v>
      </c>
      <c r="F49" s="68" t="s">
        <v>1237</v>
      </c>
      <c r="G49" s="68" t="s">
        <v>1196</v>
      </c>
      <c r="H49" s="68"/>
      <c r="I49" s="68"/>
      <c r="J49" s="68" t="n">
        <v>81</v>
      </c>
      <c r="K49" s="68"/>
      <c r="L49" s="68"/>
      <c r="M49" s="68" t="n">
        <v>3</v>
      </c>
      <c r="N49" s="68" t="n">
        <v>2.18</v>
      </c>
    </row>
    <row r="50" customFormat="false" ht="14.25" hidden="false" customHeight="true" outlineLevel="0" collapsed="false">
      <c r="A50" s="68" t="s">
        <v>1184</v>
      </c>
      <c r="B50" s="68" t="n">
        <v>1617</v>
      </c>
      <c r="C50" s="68" t="s">
        <v>1217</v>
      </c>
      <c r="D50" s="68" t="s">
        <v>67</v>
      </c>
      <c r="E50" s="68" t="s">
        <v>68</v>
      </c>
      <c r="F50" s="68" t="s">
        <v>1238</v>
      </c>
      <c r="G50" s="68" t="s">
        <v>1190</v>
      </c>
      <c r="H50" s="68"/>
      <c r="I50" s="68"/>
      <c r="J50" s="68" t="n">
        <v>13</v>
      </c>
      <c r="K50" s="68" t="n">
        <v>2.7</v>
      </c>
      <c r="L50" s="68" t="n">
        <v>0</v>
      </c>
      <c r="M50" s="68"/>
      <c r="N50" s="68"/>
    </row>
    <row r="51" customFormat="false" ht="14.25" hidden="false" customHeight="true" outlineLevel="0" collapsed="false">
      <c r="A51" s="68" t="s">
        <v>1184</v>
      </c>
      <c r="B51" s="68" t="n">
        <v>1618</v>
      </c>
      <c r="C51" s="68" t="s">
        <v>1217</v>
      </c>
      <c r="D51" s="68" t="s">
        <v>67</v>
      </c>
      <c r="E51" s="68" t="s">
        <v>68</v>
      </c>
      <c r="F51" s="68" t="s">
        <v>1239</v>
      </c>
      <c r="G51" s="68" t="s">
        <v>1196</v>
      </c>
      <c r="H51" s="68"/>
      <c r="I51" s="68"/>
      <c r="J51" s="68" t="n">
        <v>69</v>
      </c>
      <c r="K51" s="68"/>
      <c r="L51" s="68"/>
      <c r="M51" s="68" t="n">
        <v>4.4</v>
      </c>
      <c r="N51" s="68" t="n">
        <v>1.1</v>
      </c>
    </row>
    <row r="52" customFormat="false" ht="14.25" hidden="false" customHeight="true" outlineLevel="0" collapsed="false">
      <c r="A52" s="68" t="s">
        <v>1184</v>
      </c>
      <c r="B52" s="68" t="n">
        <v>1619</v>
      </c>
      <c r="C52" s="68" t="s">
        <v>1217</v>
      </c>
      <c r="D52" s="68" t="s">
        <v>67</v>
      </c>
      <c r="E52" s="68" t="s">
        <v>68</v>
      </c>
      <c r="F52" s="68" t="s">
        <v>1240</v>
      </c>
      <c r="G52" s="68" t="s">
        <v>1196</v>
      </c>
      <c r="H52" s="68"/>
      <c r="I52" s="68"/>
      <c r="J52" s="68" t="n">
        <v>41</v>
      </c>
      <c r="K52" s="68"/>
      <c r="L52" s="68"/>
      <c r="M52" s="68" t="n">
        <v>1</v>
      </c>
      <c r="N52" s="68" t="n">
        <v>2.86</v>
      </c>
    </row>
    <row r="53" customFormat="false" ht="14.25" hidden="false" customHeight="true" outlineLevel="0" collapsed="false">
      <c r="A53" s="68" t="s">
        <v>1184</v>
      </c>
      <c r="B53" s="68" t="n">
        <v>1620</v>
      </c>
      <c r="C53" s="68" t="s">
        <v>1217</v>
      </c>
      <c r="D53" s="68" t="s">
        <v>67</v>
      </c>
      <c r="E53" s="68" t="s">
        <v>68</v>
      </c>
      <c r="F53" s="68" t="s">
        <v>1241</v>
      </c>
      <c r="G53" s="68" t="s">
        <v>1187</v>
      </c>
      <c r="H53" s="68" t="n">
        <v>602</v>
      </c>
      <c r="I53" s="68" t="s">
        <v>1194</v>
      </c>
      <c r="J53" s="68" t="n">
        <v>26</v>
      </c>
      <c r="K53" s="68"/>
      <c r="L53" s="68"/>
      <c r="M53" s="68"/>
      <c r="N53" s="68"/>
    </row>
    <row r="54" customFormat="false" ht="14.25" hidden="false" customHeight="true" outlineLevel="0" collapsed="false">
      <c r="A54" s="68" t="s">
        <v>1184</v>
      </c>
      <c r="B54" s="68" t="n">
        <v>1621</v>
      </c>
      <c r="C54" s="68" t="s">
        <v>1217</v>
      </c>
      <c r="D54" s="68" t="s">
        <v>67</v>
      </c>
      <c r="E54" s="68" t="s">
        <v>68</v>
      </c>
      <c r="F54" s="68" t="s">
        <v>1242</v>
      </c>
      <c r="G54" s="68" t="s">
        <v>1196</v>
      </c>
      <c r="H54" s="68"/>
      <c r="I54" s="68"/>
      <c r="J54" s="68" t="n">
        <v>60</v>
      </c>
      <c r="K54" s="68"/>
      <c r="L54" s="68"/>
      <c r="M54" s="68" t="n">
        <v>4.4</v>
      </c>
      <c r="N54" s="68" t="n">
        <v>3.63</v>
      </c>
    </row>
    <row r="55" customFormat="false" ht="14.25" hidden="false" customHeight="true" outlineLevel="0" collapsed="false">
      <c r="A55" s="68" t="s">
        <v>1184</v>
      </c>
      <c r="B55" s="68" t="n">
        <v>1622</v>
      </c>
      <c r="C55" s="68" t="s">
        <v>1217</v>
      </c>
      <c r="D55" s="68" t="s">
        <v>67</v>
      </c>
      <c r="E55" s="68" t="s">
        <v>68</v>
      </c>
      <c r="F55" s="68" t="s">
        <v>1243</v>
      </c>
      <c r="G55" s="68" t="s">
        <v>1190</v>
      </c>
      <c r="H55" s="68"/>
      <c r="I55" s="68"/>
      <c r="J55" s="68" t="n">
        <v>44</v>
      </c>
      <c r="K55" s="68" t="n">
        <v>9.7</v>
      </c>
      <c r="L55" s="68" t="n">
        <v>0</v>
      </c>
      <c r="M55" s="68"/>
      <c r="N55" s="68"/>
    </row>
    <row r="56" customFormat="false" ht="14.25" hidden="false" customHeight="true" outlineLevel="0" collapsed="false">
      <c r="A56" s="68" t="s">
        <v>1184</v>
      </c>
      <c r="B56" s="68" t="n">
        <v>1623</v>
      </c>
      <c r="C56" s="68" t="s">
        <v>1217</v>
      </c>
      <c r="D56" s="68" t="s">
        <v>67</v>
      </c>
      <c r="E56" s="68" t="s">
        <v>68</v>
      </c>
      <c r="F56" s="68" t="s">
        <v>1244</v>
      </c>
      <c r="G56" s="68" t="s">
        <v>1196</v>
      </c>
      <c r="H56" s="68"/>
      <c r="I56" s="68"/>
      <c r="J56" s="68" t="n">
        <v>37</v>
      </c>
      <c r="K56" s="68"/>
      <c r="L56" s="68"/>
      <c r="M56" s="68" t="n">
        <v>1.6</v>
      </c>
      <c r="N56" s="68" t="n">
        <v>3.56</v>
      </c>
    </row>
    <row r="57" customFormat="false" ht="14.25" hidden="false" customHeight="true" outlineLevel="0" collapsed="false">
      <c r="A57" s="68" t="s">
        <v>1184</v>
      </c>
      <c r="B57" s="68" t="n">
        <v>1624</v>
      </c>
      <c r="C57" s="68" t="s">
        <v>1217</v>
      </c>
      <c r="D57" s="68" t="s">
        <v>67</v>
      </c>
      <c r="E57" s="68" t="s">
        <v>68</v>
      </c>
      <c r="F57" s="68" t="s">
        <v>1245</v>
      </c>
      <c r="G57" s="68" t="s">
        <v>1196</v>
      </c>
      <c r="H57" s="68"/>
      <c r="I57" s="68"/>
      <c r="J57" s="68" t="n">
        <v>40</v>
      </c>
      <c r="K57" s="68"/>
      <c r="L57" s="68"/>
      <c r="M57" s="68" t="n">
        <v>1</v>
      </c>
      <c r="N57" s="68" t="n">
        <v>2.87</v>
      </c>
    </row>
    <row r="58" customFormat="false" ht="14.25" hidden="false" customHeight="true" outlineLevel="0" collapsed="false">
      <c r="A58" s="68" t="s">
        <v>1184</v>
      </c>
      <c r="B58" s="68" t="n">
        <v>1625</v>
      </c>
      <c r="C58" s="68" t="s">
        <v>1217</v>
      </c>
      <c r="D58" s="68" t="s">
        <v>67</v>
      </c>
      <c r="E58" s="68" t="s">
        <v>68</v>
      </c>
      <c r="F58" s="68" t="s">
        <v>1246</v>
      </c>
      <c r="G58" s="68" t="s">
        <v>1196</v>
      </c>
      <c r="H58" s="68"/>
      <c r="I58" s="68"/>
      <c r="J58" s="68" t="n">
        <v>38</v>
      </c>
      <c r="K58" s="68"/>
      <c r="L58" s="68"/>
      <c r="M58" s="68" t="n">
        <v>3.2</v>
      </c>
      <c r="N58" s="68" t="n">
        <v>0.96</v>
      </c>
    </row>
    <row r="59" customFormat="false" ht="14.25" hidden="false" customHeight="true" outlineLevel="0" collapsed="false">
      <c r="A59" s="68" t="s">
        <v>1184</v>
      </c>
      <c r="B59" s="68" t="n">
        <v>1626</v>
      </c>
      <c r="C59" s="68" t="s">
        <v>1217</v>
      </c>
      <c r="D59" s="68" t="s">
        <v>67</v>
      </c>
      <c r="E59" s="68" t="s">
        <v>68</v>
      </c>
      <c r="F59" s="68" t="s">
        <v>1247</v>
      </c>
      <c r="G59" s="68" t="s">
        <v>1196</v>
      </c>
      <c r="H59" s="68"/>
      <c r="I59" s="68"/>
      <c r="J59" s="68"/>
      <c r="K59" s="68"/>
      <c r="L59" s="68"/>
      <c r="M59" s="68" t="n">
        <v>0.7</v>
      </c>
      <c r="N59" s="68" t="n">
        <v>0.72</v>
      </c>
    </row>
    <row r="60" customFormat="false" ht="14.25" hidden="false" customHeight="true" outlineLevel="0" collapsed="false">
      <c r="A60" s="68" t="s">
        <v>1184</v>
      </c>
      <c r="B60" s="68" t="n">
        <v>1627</v>
      </c>
      <c r="C60" s="68" t="s">
        <v>1217</v>
      </c>
      <c r="D60" s="68" t="s">
        <v>67</v>
      </c>
      <c r="E60" s="68" t="s">
        <v>68</v>
      </c>
      <c r="F60" s="68" t="s">
        <v>1248</v>
      </c>
      <c r="G60" s="68" t="s">
        <v>1190</v>
      </c>
      <c r="H60" s="68"/>
      <c r="I60" s="68"/>
      <c r="J60" s="68" t="n">
        <v>91</v>
      </c>
      <c r="K60" s="68" t="n">
        <v>5.9</v>
      </c>
      <c r="L60" s="68" t="n">
        <v>1</v>
      </c>
      <c r="M60" s="68"/>
      <c r="N60" s="68"/>
    </row>
    <row r="61" customFormat="false" ht="14.25" hidden="false" customHeight="true" outlineLevel="0" collapsed="false">
      <c r="A61" s="68" t="s">
        <v>1184</v>
      </c>
      <c r="B61" s="68" t="n">
        <v>1628</v>
      </c>
      <c r="C61" s="68" t="s">
        <v>1249</v>
      </c>
      <c r="D61" s="68" t="s">
        <v>61</v>
      </c>
      <c r="E61" s="68" t="s">
        <v>62</v>
      </c>
      <c r="F61" s="68" t="s">
        <v>1250</v>
      </c>
      <c r="G61" s="68" t="s">
        <v>1196</v>
      </c>
      <c r="H61" s="68"/>
      <c r="I61" s="68"/>
      <c r="J61" s="68" t="n">
        <v>56</v>
      </c>
      <c r="K61" s="68"/>
      <c r="L61" s="68"/>
      <c r="M61" s="68" t="n">
        <v>3.1</v>
      </c>
      <c r="N61" s="68" t="n">
        <v>1.36</v>
      </c>
    </row>
    <row r="62" customFormat="false" ht="14.25" hidden="false" customHeight="true" outlineLevel="0" collapsed="false">
      <c r="A62" s="68" t="s">
        <v>1184</v>
      </c>
      <c r="B62" s="68" t="n">
        <v>1629</v>
      </c>
      <c r="C62" s="68" t="s">
        <v>1249</v>
      </c>
      <c r="D62" s="68" t="s">
        <v>61</v>
      </c>
      <c r="E62" s="68" t="s">
        <v>62</v>
      </c>
      <c r="F62" s="68" t="s">
        <v>1251</v>
      </c>
      <c r="G62" s="68" t="s">
        <v>1187</v>
      </c>
      <c r="H62" s="68" t="n">
        <v>310</v>
      </c>
      <c r="I62" s="68" t="s">
        <v>1194</v>
      </c>
      <c r="J62" s="68" t="n">
        <v>15</v>
      </c>
      <c r="K62" s="68"/>
      <c r="L62" s="68"/>
      <c r="M62" s="68"/>
      <c r="N62" s="68"/>
    </row>
    <row r="63" customFormat="false" ht="14.25" hidden="false" customHeight="true" outlineLevel="0" collapsed="false">
      <c r="A63" s="68" t="s">
        <v>1184</v>
      </c>
      <c r="B63" s="68" t="n">
        <v>1630</v>
      </c>
      <c r="C63" s="68" t="s">
        <v>1249</v>
      </c>
      <c r="D63" s="68" t="s">
        <v>61</v>
      </c>
      <c r="E63" s="68" t="s">
        <v>62</v>
      </c>
      <c r="F63" s="68" t="s">
        <v>1252</v>
      </c>
      <c r="G63" s="68" t="s">
        <v>1187</v>
      </c>
      <c r="H63" s="68" t="n">
        <v>847</v>
      </c>
      <c r="I63" s="68" t="s">
        <v>1194</v>
      </c>
      <c r="J63" s="68" t="n">
        <v>31</v>
      </c>
      <c r="K63" s="68"/>
      <c r="L63" s="68"/>
      <c r="M63" s="68"/>
      <c r="N63" s="68"/>
    </row>
    <row r="64" customFormat="false" ht="14.25" hidden="false" customHeight="true" outlineLevel="0" collapsed="false">
      <c r="A64" s="68" t="s">
        <v>1184</v>
      </c>
      <c r="B64" s="68" t="n">
        <v>1631</v>
      </c>
      <c r="C64" s="68" t="s">
        <v>1249</v>
      </c>
      <c r="D64" s="68" t="s">
        <v>61</v>
      </c>
      <c r="E64" s="68" t="s">
        <v>62</v>
      </c>
      <c r="F64" s="68" t="s">
        <v>1253</v>
      </c>
      <c r="G64" s="68" t="s">
        <v>1196</v>
      </c>
      <c r="H64" s="68"/>
      <c r="I64" s="68"/>
      <c r="J64" s="68" t="n">
        <v>94</v>
      </c>
      <c r="K64" s="68"/>
      <c r="L64" s="68"/>
      <c r="M64" s="68" t="n">
        <v>2.1</v>
      </c>
      <c r="N64" s="68" t="n">
        <v>3.59</v>
      </c>
    </row>
    <row r="65" customFormat="false" ht="14.25" hidden="false" customHeight="true" outlineLevel="0" collapsed="false">
      <c r="A65" s="68" t="s">
        <v>1184</v>
      </c>
      <c r="B65" s="68" t="n">
        <v>1632</v>
      </c>
      <c r="C65" s="68" t="s">
        <v>1249</v>
      </c>
      <c r="D65" s="68" t="s">
        <v>61</v>
      </c>
      <c r="E65" s="68" t="s">
        <v>62</v>
      </c>
      <c r="F65" s="68" t="s">
        <v>1254</v>
      </c>
      <c r="G65" s="68" t="s">
        <v>1190</v>
      </c>
      <c r="H65" s="68"/>
      <c r="I65" s="68"/>
      <c r="J65" s="68" t="n">
        <v>23</v>
      </c>
      <c r="K65" s="68" t="n">
        <v>16.8</v>
      </c>
      <c r="L65" s="68" t="n">
        <v>4.1</v>
      </c>
      <c r="M65" s="68"/>
      <c r="N65" s="68"/>
    </row>
    <row r="66" customFormat="false" ht="14.25" hidden="false" customHeight="true" outlineLevel="0" collapsed="false">
      <c r="A66" s="68" t="s">
        <v>1184</v>
      </c>
      <c r="B66" s="68" t="n">
        <v>1633</v>
      </c>
      <c r="C66" s="68" t="s">
        <v>1249</v>
      </c>
      <c r="D66" s="68" t="s">
        <v>61</v>
      </c>
      <c r="E66" s="68" t="s">
        <v>62</v>
      </c>
      <c r="F66" s="68" t="s">
        <v>1222</v>
      </c>
      <c r="G66" s="68" t="s">
        <v>1187</v>
      </c>
      <c r="H66" s="68" t="n">
        <v>511</v>
      </c>
      <c r="I66" s="68" t="s">
        <v>1209</v>
      </c>
      <c r="J66" s="68" t="n">
        <v>33</v>
      </c>
      <c r="K66" s="68"/>
      <c r="L66" s="68"/>
      <c r="M66" s="68"/>
      <c r="N66" s="68"/>
    </row>
    <row r="67" customFormat="false" ht="14.25" hidden="false" customHeight="true" outlineLevel="0" collapsed="false">
      <c r="A67" s="68" t="s">
        <v>1184</v>
      </c>
      <c r="B67" s="68" t="n">
        <v>1634</v>
      </c>
      <c r="C67" s="68" t="s">
        <v>1249</v>
      </c>
      <c r="D67" s="68" t="s">
        <v>61</v>
      </c>
      <c r="E67" s="68" t="s">
        <v>62</v>
      </c>
      <c r="F67" s="68" t="s">
        <v>1255</v>
      </c>
      <c r="G67" s="68" t="s">
        <v>1187</v>
      </c>
      <c r="H67" s="68" t="n">
        <v>257</v>
      </c>
      <c r="I67" s="68" t="s">
        <v>1188</v>
      </c>
      <c r="J67" s="68" t="n">
        <v>54</v>
      </c>
      <c r="K67" s="68"/>
      <c r="L67" s="68"/>
      <c r="M67" s="68"/>
      <c r="N67" s="68"/>
    </row>
    <row r="68" customFormat="false" ht="14.25" hidden="false" customHeight="true" outlineLevel="0" collapsed="false">
      <c r="A68" s="68" t="s">
        <v>1184</v>
      </c>
      <c r="B68" s="68" t="n">
        <v>1635</v>
      </c>
      <c r="C68" s="68" t="s">
        <v>1249</v>
      </c>
      <c r="D68" s="68" t="s">
        <v>61</v>
      </c>
      <c r="E68" s="68" t="s">
        <v>62</v>
      </c>
      <c r="F68" s="68" t="s">
        <v>1256</v>
      </c>
      <c r="G68" s="68" t="s">
        <v>1187</v>
      </c>
      <c r="H68" s="68" t="n">
        <v>289</v>
      </c>
      <c r="I68" s="68" t="s">
        <v>1194</v>
      </c>
      <c r="J68" s="68" t="n">
        <v>47</v>
      </c>
      <c r="K68" s="68"/>
      <c r="L68" s="68"/>
      <c r="M68" s="68"/>
      <c r="N68" s="68"/>
    </row>
    <row r="69" customFormat="false" ht="14.25" hidden="false" customHeight="true" outlineLevel="0" collapsed="false">
      <c r="A69" s="68" t="s">
        <v>1184</v>
      </c>
      <c r="B69" s="68" t="n">
        <v>1636</v>
      </c>
      <c r="C69" s="68" t="s">
        <v>1249</v>
      </c>
      <c r="D69" s="68" t="s">
        <v>61</v>
      </c>
      <c r="E69" s="68" t="s">
        <v>62</v>
      </c>
      <c r="F69" s="68" t="s">
        <v>1257</v>
      </c>
      <c r="G69" s="68" t="s">
        <v>1187</v>
      </c>
      <c r="H69" s="68" t="n">
        <v>99</v>
      </c>
      <c r="I69" s="68" t="s">
        <v>1194</v>
      </c>
      <c r="J69" s="68"/>
      <c r="K69" s="68"/>
      <c r="L69" s="68"/>
      <c r="M69" s="68"/>
      <c r="N69" s="68"/>
    </row>
    <row r="70" customFormat="false" ht="14.25" hidden="false" customHeight="true" outlineLevel="0" collapsed="false">
      <c r="A70" s="68" t="s">
        <v>1184</v>
      </c>
      <c r="B70" s="68" t="n">
        <v>1637</v>
      </c>
      <c r="C70" s="68" t="s">
        <v>1249</v>
      </c>
      <c r="D70" s="68" t="s">
        <v>61</v>
      </c>
      <c r="E70" s="68" t="s">
        <v>62</v>
      </c>
      <c r="F70" s="68" t="s">
        <v>1227</v>
      </c>
      <c r="G70" s="68" t="s">
        <v>1196</v>
      </c>
      <c r="H70" s="68"/>
      <c r="I70" s="68"/>
      <c r="J70" s="68" t="n">
        <v>72</v>
      </c>
      <c r="K70" s="68"/>
      <c r="L70" s="68"/>
      <c r="M70" s="68" t="n">
        <v>2.8</v>
      </c>
      <c r="N70" s="68" t="n">
        <v>2.11</v>
      </c>
    </row>
    <row r="71" customFormat="false" ht="14.25" hidden="false" customHeight="true" outlineLevel="0" collapsed="false">
      <c r="A71" s="68" t="s">
        <v>1184</v>
      </c>
      <c r="B71" s="68" t="n">
        <v>1638</v>
      </c>
      <c r="C71" s="68" t="s">
        <v>1249</v>
      </c>
      <c r="D71" s="68" t="s">
        <v>61</v>
      </c>
      <c r="E71" s="68" t="s">
        <v>62</v>
      </c>
      <c r="F71" s="68" t="s">
        <v>1258</v>
      </c>
      <c r="G71" s="68" t="s">
        <v>1187</v>
      </c>
      <c r="H71" s="68" t="n">
        <v>266</v>
      </c>
      <c r="I71" s="68" t="s">
        <v>1194</v>
      </c>
      <c r="J71" s="68"/>
      <c r="K71" s="68"/>
      <c r="L71" s="68"/>
      <c r="M71" s="68"/>
      <c r="N71" s="68"/>
    </row>
    <row r="72" customFormat="false" ht="14.25" hidden="false" customHeight="true" outlineLevel="0" collapsed="false">
      <c r="A72" s="68" t="s">
        <v>1184</v>
      </c>
      <c r="B72" s="68" t="n">
        <v>1639</v>
      </c>
      <c r="C72" s="68" t="s">
        <v>1249</v>
      </c>
      <c r="D72" s="68" t="s">
        <v>61</v>
      </c>
      <c r="E72" s="68" t="s">
        <v>62</v>
      </c>
      <c r="F72" s="68" t="s">
        <v>1259</v>
      </c>
      <c r="G72" s="68" t="s">
        <v>1196</v>
      </c>
      <c r="H72" s="68"/>
      <c r="I72" s="68"/>
      <c r="J72" s="68" t="n">
        <v>66</v>
      </c>
      <c r="K72" s="68"/>
      <c r="L72" s="68"/>
      <c r="M72" s="68" t="n">
        <v>4</v>
      </c>
      <c r="N72" s="68" t="n">
        <v>0.74</v>
      </c>
    </row>
    <row r="73" customFormat="false" ht="14.25" hidden="false" customHeight="true" outlineLevel="0" collapsed="false">
      <c r="A73" s="68" t="s">
        <v>1184</v>
      </c>
      <c r="B73" s="68" t="n">
        <v>1640</v>
      </c>
      <c r="C73" s="68" t="s">
        <v>1249</v>
      </c>
      <c r="D73" s="68" t="s">
        <v>61</v>
      </c>
      <c r="E73" s="68" t="s">
        <v>62</v>
      </c>
      <c r="F73" s="68" t="s">
        <v>1260</v>
      </c>
      <c r="G73" s="68" t="s">
        <v>1196</v>
      </c>
      <c r="H73" s="68"/>
      <c r="I73" s="68"/>
      <c r="J73" s="68" t="n">
        <v>73</v>
      </c>
      <c r="K73" s="68"/>
      <c r="L73" s="68"/>
      <c r="M73" s="68" t="n">
        <v>0.8</v>
      </c>
      <c r="N73" s="68" t="n">
        <v>3.16</v>
      </c>
    </row>
    <row r="74" customFormat="false" ht="14.25" hidden="false" customHeight="true" outlineLevel="0" collapsed="false">
      <c r="A74" s="68" t="s">
        <v>1184</v>
      </c>
      <c r="B74" s="68" t="n">
        <v>1641</v>
      </c>
      <c r="C74" s="68" t="s">
        <v>1249</v>
      </c>
      <c r="D74" s="68" t="s">
        <v>61</v>
      </c>
      <c r="E74" s="68" t="s">
        <v>62</v>
      </c>
      <c r="F74" s="68" t="s">
        <v>1261</v>
      </c>
      <c r="G74" s="68" t="s">
        <v>1196</v>
      </c>
      <c r="H74" s="68"/>
      <c r="I74" s="68"/>
      <c r="J74" s="68" t="n">
        <v>72</v>
      </c>
      <c r="K74" s="68"/>
      <c r="L74" s="68"/>
      <c r="M74" s="68" t="n">
        <v>4.2</v>
      </c>
      <c r="N74" s="68" t="n">
        <v>2.67</v>
      </c>
    </row>
    <row r="75" customFormat="false" ht="14.25" hidden="false" customHeight="true" outlineLevel="0" collapsed="false">
      <c r="A75" s="68" t="s">
        <v>1184</v>
      </c>
      <c r="B75" s="68" t="n">
        <v>1642</v>
      </c>
      <c r="C75" s="68" t="s">
        <v>1249</v>
      </c>
      <c r="D75" s="68" t="s">
        <v>61</v>
      </c>
      <c r="E75" s="68" t="s">
        <v>62</v>
      </c>
      <c r="F75" s="68" t="s">
        <v>1230</v>
      </c>
      <c r="G75" s="68" t="s">
        <v>1187</v>
      </c>
      <c r="H75" s="68" t="n">
        <v>865</v>
      </c>
      <c r="I75" s="68" t="s">
        <v>1194</v>
      </c>
      <c r="J75" s="68" t="n">
        <v>15</v>
      </c>
      <c r="K75" s="68"/>
      <c r="L75" s="68"/>
      <c r="M75" s="68"/>
      <c r="N75" s="68"/>
    </row>
    <row r="76" customFormat="false" ht="14.25" hidden="false" customHeight="true" outlineLevel="0" collapsed="false">
      <c r="A76" s="68" t="s">
        <v>1184</v>
      </c>
      <c r="B76" s="68" t="n">
        <v>1643</v>
      </c>
      <c r="C76" s="68" t="s">
        <v>1249</v>
      </c>
      <c r="D76" s="68" t="s">
        <v>61</v>
      </c>
      <c r="E76" s="68" t="s">
        <v>62</v>
      </c>
      <c r="F76" s="68" t="s">
        <v>1262</v>
      </c>
      <c r="G76" s="68" t="s">
        <v>1196</v>
      </c>
      <c r="H76" s="68"/>
      <c r="I76" s="68"/>
      <c r="J76" s="68" t="n">
        <v>96</v>
      </c>
      <c r="K76" s="68"/>
      <c r="L76" s="68"/>
      <c r="M76" s="68" t="n">
        <v>2.2</v>
      </c>
      <c r="N76" s="68" t="n">
        <v>1.01</v>
      </c>
    </row>
    <row r="77" customFormat="false" ht="14.25" hidden="false" customHeight="true" outlineLevel="0" collapsed="false">
      <c r="A77" s="68" t="s">
        <v>1184</v>
      </c>
      <c r="B77" s="68" t="n">
        <v>1644</v>
      </c>
      <c r="C77" s="68" t="s">
        <v>1249</v>
      </c>
      <c r="D77" s="68" t="s">
        <v>61</v>
      </c>
      <c r="E77" s="68" t="s">
        <v>62</v>
      </c>
      <c r="F77" s="68" t="s">
        <v>1263</v>
      </c>
      <c r="G77" s="68" t="s">
        <v>1196</v>
      </c>
      <c r="H77" s="68"/>
      <c r="I77" s="68"/>
      <c r="J77" s="68" t="n">
        <v>55</v>
      </c>
      <c r="K77" s="68"/>
      <c r="L77" s="68"/>
      <c r="M77" s="68" t="n">
        <v>2.7</v>
      </c>
      <c r="N77" s="68" t="n">
        <v>3.64</v>
      </c>
    </row>
    <row r="78" customFormat="false" ht="14.25" hidden="false" customHeight="true" outlineLevel="0" collapsed="false">
      <c r="A78" s="68" t="s">
        <v>1184</v>
      </c>
      <c r="B78" s="68" t="n">
        <v>1645</v>
      </c>
      <c r="C78" s="68" t="s">
        <v>1249</v>
      </c>
      <c r="D78" s="68" t="s">
        <v>61</v>
      </c>
      <c r="E78" s="68" t="s">
        <v>62</v>
      </c>
      <c r="F78" s="68" t="s">
        <v>1231</v>
      </c>
      <c r="G78" s="68" t="s">
        <v>1196</v>
      </c>
      <c r="H78" s="68"/>
      <c r="I78" s="68"/>
      <c r="J78" s="68"/>
      <c r="K78" s="68"/>
      <c r="L78" s="68"/>
      <c r="M78" s="68" t="n">
        <v>1.1</v>
      </c>
      <c r="N78" s="68" t="n">
        <v>1.07</v>
      </c>
    </row>
    <row r="79" customFormat="false" ht="14.25" hidden="false" customHeight="true" outlineLevel="0" collapsed="false">
      <c r="A79" s="68" t="s">
        <v>1184</v>
      </c>
      <c r="B79" s="68" t="n">
        <v>1646</v>
      </c>
      <c r="C79" s="68" t="s">
        <v>1249</v>
      </c>
      <c r="D79" s="68" t="s">
        <v>61</v>
      </c>
      <c r="E79" s="68" t="s">
        <v>62</v>
      </c>
      <c r="F79" s="68" t="s">
        <v>1232</v>
      </c>
      <c r="G79" s="68" t="s">
        <v>1196</v>
      </c>
      <c r="H79" s="68"/>
      <c r="I79" s="68"/>
      <c r="J79" s="68" t="n">
        <v>48</v>
      </c>
      <c r="K79" s="68"/>
      <c r="L79" s="68"/>
      <c r="M79" s="68" t="n">
        <v>2.8</v>
      </c>
      <c r="N79" s="68" t="n">
        <v>2.28</v>
      </c>
    </row>
    <row r="80" customFormat="false" ht="14.25" hidden="false" customHeight="true" outlineLevel="0" collapsed="false">
      <c r="A80" s="68" t="s">
        <v>1184</v>
      </c>
      <c r="B80" s="68" t="n">
        <v>1647</v>
      </c>
      <c r="C80" s="68" t="s">
        <v>1249</v>
      </c>
      <c r="D80" s="68" t="s">
        <v>61</v>
      </c>
      <c r="E80" s="68" t="s">
        <v>62</v>
      </c>
      <c r="F80" s="68" t="s">
        <v>1264</v>
      </c>
      <c r="G80" s="68" t="s">
        <v>1196</v>
      </c>
      <c r="H80" s="68"/>
      <c r="I80" s="68"/>
      <c r="J80" s="68" t="n">
        <v>29</v>
      </c>
      <c r="K80" s="68"/>
      <c r="L80" s="68"/>
      <c r="M80" s="68" t="n">
        <v>2.8</v>
      </c>
      <c r="N80" s="68" t="n">
        <v>2.4</v>
      </c>
    </row>
    <row r="81" customFormat="false" ht="14.25" hidden="false" customHeight="true" outlineLevel="0" collapsed="false">
      <c r="A81" s="68" t="s">
        <v>1184</v>
      </c>
      <c r="B81" s="68" t="n">
        <v>1648</v>
      </c>
      <c r="C81" s="68" t="s">
        <v>1249</v>
      </c>
      <c r="D81" s="68" t="s">
        <v>61</v>
      </c>
      <c r="E81" s="68" t="s">
        <v>62</v>
      </c>
      <c r="F81" s="68" t="s">
        <v>1265</v>
      </c>
      <c r="G81" s="68" t="s">
        <v>1187</v>
      </c>
      <c r="H81" s="68" t="n">
        <v>104</v>
      </c>
      <c r="I81" s="68" t="s">
        <v>1194</v>
      </c>
      <c r="J81" s="68" t="n">
        <v>25</v>
      </c>
      <c r="K81" s="68"/>
      <c r="L81" s="68"/>
      <c r="M81" s="68"/>
      <c r="N81" s="68"/>
    </row>
    <row r="82" customFormat="false" ht="14.25" hidden="false" customHeight="true" outlineLevel="0" collapsed="false">
      <c r="A82" s="68" t="s">
        <v>1184</v>
      </c>
      <c r="B82" s="68" t="n">
        <v>1649</v>
      </c>
      <c r="C82" s="68" t="s">
        <v>1249</v>
      </c>
      <c r="D82" s="68" t="s">
        <v>61</v>
      </c>
      <c r="E82" s="68" t="s">
        <v>62</v>
      </c>
      <c r="F82" s="68" t="s">
        <v>1206</v>
      </c>
      <c r="G82" s="68" t="s">
        <v>1196</v>
      </c>
      <c r="H82" s="68"/>
      <c r="I82" s="68"/>
      <c r="J82" s="68" t="n">
        <v>44</v>
      </c>
      <c r="K82" s="68"/>
      <c r="L82" s="68"/>
      <c r="M82" s="68" t="n">
        <v>1.3</v>
      </c>
      <c r="N82" s="68" t="n">
        <v>1.34</v>
      </c>
    </row>
    <row r="83" customFormat="false" ht="14.25" hidden="false" customHeight="true" outlineLevel="0" collapsed="false">
      <c r="A83" s="68" t="s">
        <v>1184</v>
      </c>
      <c r="B83" s="68" t="n">
        <v>1650</v>
      </c>
      <c r="C83" s="68" t="s">
        <v>1249</v>
      </c>
      <c r="D83" s="68" t="s">
        <v>61</v>
      </c>
      <c r="E83" s="68" t="s">
        <v>62</v>
      </c>
      <c r="F83" s="68" t="s">
        <v>1210</v>
      </c>
      <c r="G83" s="68" t="s">
        <v>1190</v>
      </c>
      <c r="H83" s="68"/>
      <c r="I83" s="68"/>
      <c r="J83" s="68" t="n">
        <v>97</v>
      </c>
      <c r="K83" s="68" t="n">
        <v>16.3</v>
      </c>
      <c r="L83" s="68" t="n">
        <v>7.3</v>
      </c>
      <c r="M83" s="68"/>
      <c r="N83" s="68"/>
    </row>
    <row r="84" customFormat="false" ht="14.25" hidden="false" customHeight="true" outlineLevel="0" collapsed="false">
      <c r="A84" s="68" t="s">
        <v>1184</v>
      </c>
      <c r="B84" s="68" t="n">
        <v>1651</v>
      </c>
      <c r="C84" s="68" t="s">
        <v>1249</v>
      </c>
      <c r="D84" s="68" t="s">
        <v>61</v>
      </c>
      <c r="E84" s="68" t="s">
        <v>62</v>
      </c>
      <c r="F84" s="68" t="s">
        <v>1266</v>
      </c>
      <c r="G84" s="68" t="s">
        <v>1187</v>
      </c>
      <c r="H84" s="68" t="n">
        <v>736</v>
      </c>
      <c r="I84" s="68" t="s">
        <v>1209</v>
      </c>
      <c r="J84" s="68" t="n">
        <v>41</v>
      </c>
      <c r="K84" s="68"/>
      <c r="L84" s="68"/>
      <c r="M84" s="68"/>
      <c r="N84" s="68"/>
    </row>
    <row r="85" customFormat="false" ht="14.25" hidden="false" customHeight="true" outlineLevel="0" collapsed="false">
      <c r="A85" s="68" t="s">
        <v>1184</v>
      </c>
      <c r="B85" s="68" t="n">
        <v>1652</v>
      </c>
      <c r="C85" s="68" t="s">
        <v>1249</v>
      </c>
      <c r="D85" s="68" t="s">
        <v>61</v>
      </c>
      <c r="E85" s="68" t="s">
        <v>62</v>
      </c>
      <c r="F85" s="68" t="s">
        <v>1267</v>
      </c>
      <c r="G85" s="68" t="s">
        <v>1187</v>
      </c>
      <c r="H85" s="68" t="n">
        <v>708</v>
      </c>
      <c r="I85" s="68" t="s">
        <v>1194</v>
      </c>
      <c r="J85" s="68" t="n">
        <v>71</v>
      </c>
      <c r="K85" s="68"/>
      <c r="L85" s="68"/>
      <c r="M85" s="68"/>
      <c r="N85" s="68"/>
    </row>
    <row r="86" customFormat="false" ht="14.25" hidden="false" customHeight="true" outlineLevel="0" collapsed="false">
      <c r="A86" s="68" t="s">
        <v>1184</v>
      </c>
      <c r="B86" s="68" t="n">
        <v>1653</v>
      </c>
      <c r="C86" s="68" t="s">
        <v>1249</v>
      </c>
      <c r="D86" s="68" t="s">
        <v>61</v>
      </c>
      <c r="E86" s="68" t="s">
        <v>62</v>
      </c>
      <c r="F86" s="68" t="s">
        <v>1212</v>
      </c>
      <c r="G86" s="68" t="s">
        <v>1187</v>
      </c>
      <c r="H86" s="68" t="n">
        <v>709</v>
      </c>
      <c r="I86" s="68" t="s">
        <v>1194</v>
      </c>
      <c r="J86" s="68"/>
      <c r="K86" s="68"/>
      <c r="L86" s="68"/>
      <c r="M86" s="68"/>
      <c r="N86" s="68"/>
    </row>
    <row r="87" customFormat="false" ht="14.25" hidden="false" customHeight="true" outlineLevel="0" collapsed="false">
      <c r="A87" s="68" t="s">
        <v>1184</v>
      </c>
      <c r="B87" s="68" t="n">
        <v>1654</v>
      </c>
      <c r="C87" s="68" t="s">
        <v>1249</v>
      </c>
      <c r="D87" s="68" t="s">
        <v>61</v>
      </c>
      <c r="E87" s="68" t="s">
        <v>62</v>
      </c>
      <c r="F87" s="68" t="s">
        <v>1238</v>
      </c>
      <c r="G87" s="68" t="s">
        <v>1196</v>
      </c>
      <c r="H87" s="68"/>
      <c r="I87" s="68"/>
      <c r="J87" s="68" t="n">
        <v>40</v>
      </c>
      <c r="K87" s="68"/>
      <c r="L87" s="68"/>
      <c r="M87" s="68" t="n">
        <v>2.9</v>
      </c>
      <c r="N87" s="68" t="n">
        <v>1.98</v>
      </c>
    </row>
    <row r="88" customFormat="false" ht="14.25" hidden="false" customHeight="true" outlineLevel="0" collapsed="false">
      <c r="A88" s="68" t="s">
        <v>1184</v>
      </c>
      <c r="B88" s="68" t="n">
        <v>1655</v>
      </c>
      <c r="C88" s="68" t="s">
        <v>1249</v>
      </c>
      <c r="D88" s="68" t="s">
        <v>61</v>
      </c>
      <c r="E88" s="68" t="s">
        <v>62</v>
      </c>
      <c r="F88" s="68" t="s">
        <v>1268</v>
      </c>
      <c r="G88" s="68" t="s">
        <v>1190</v>
      </c>
      <c r="H88" s="68"/>
      <c r="I88" s="68"/>
      <c r="J88" s="68" t="n">
        <v>64</v>
      </c>
      <c r="K88" s="68" t="n">
        <v>13.8</v>
      </c>
      <c r="L88" s="68" t="n">
        <v>5</v>
      </c>
      <c r="M88" s="68"/>
      <c r="N88" s="68"/>
    </row>
    <row r="89" customFormat="false" ht="14.25" hidden="false" customHeight="true" outlineLevel="0" collapsed="false">
      <c r="A89" s="68" t="s">
        <v>1184</v>
      </c>
      <c r="B89" s="68" t="n">
        <v>1656</v>
      </c>
      <c r="C89" s="68" t="s">
        <v>1249</v>
      </c>
      <c r="D89" s="68" t="s">
        <v>61</v>
      </c>
      <c r="E89" s="68" t="s">
        <v>62</v>
      </c>
      <c r="F89" s="68" t="s">
        <v>1269</v>
      </c>
      <c r="G89" s="68" t="s">
        <v>1187</v>
      </c>
      <c r="H89" s="68" t="n">
        <v>192</v>
      </c>
      <c r="I89" s="68" t="s">
        <v>1188</v>
      </c>
      <c r="J89" s="68"/>
      <c r="K89" s="68"/>
      <c r="L89" s="68"/>
      <c r="M89" s="68"/>
      <c r="N89" s="68"/>
    </row>
    <row r="90" customFormat="false" ht="14.25" hidden="false" customHeight="true" outlineLevel="0" collapsed="false">
      <c r="A90" s="68" t="s">
        <v>1184</v>
      </c>
      <c r="B90" s="68" t="n">
        <v>1657</v>
      </c>
      <c r="C90" s="68" t="s">
        <v>1249</v>
      </c>
      <c r="D90" s="68" t="s">
        <v>61</v>
      </c>
      <c r="E90" s="68" t="s">
        <v>62</v>
      </c>
      <c r="F90" s="68" t="s">
        <v>1270</v>
      </c>
      <c r="G90" s="68" t="s">
        <v>1187</v>
      </c>
      <c r="H90" s="68" t="n">
        <v>874</v>
      </c>
      <c r="I90" s="68" t="s">
        <v>1194</v>
      </c>
      <c r="J90" s="68" t="n">
        <v>66</v>
      </c>
      <c r="K90" s="68"/>
      <c r="L90" s="68"/>
      <c r="M90" s="68"/>
      <c r="N90" s="68"/>
    </row>
    <row r="91" customFormat="false" ht="14.25" hidden="false" customHeight="true" outlineLevel="0" collapsed="false">
      <c r="A91" s="68" t="s">
        <v>1184</v>
      </c>
      <c r="B91" s="68" t="n">
        <v>1658</v>
      </c>
      <c r="C91" s="68" t="s">
        <v>1249</v>
      </c>
      <c r="D91" s="68" t="s">
        <v>61</v>
      </c>
      <c r="E91" s="68" t="s">
        <v>62</v>
      </c>
      <c r="F91" s="68" t="s">
        <v>1271</v>
      </c>
      <c r="G91" s="68" t="s">
        <v>1187</v>
      </c>
      <c r="H91" s="68" t="n">
        <v>677</v>
      </c>
      <c r="I91" s="68" t="s">
        <v>1188</v>
      </c>
      <c r="J91" s="68" t="n">
        <v>69</v>
      </c>
      <c r="K91" s="68"/>
      <c r="L91" s="68"/>
      <c r="M91" s="68"/>
      <c r="N91" s="68"/>
    </row>
    <row r="92" customFormat="false" ht="14.25" hidden="false" customHeight="true" outlineLevel="0" collapsed="false">
      <c r="A92" s="68" t="s">
        <v>1184</v>
      </c>
      <c r="B92" s="68" t="n">
        <v>1659</v>
      </c>
      <c r="C92" s="68" t="s">
        <v>1249</v>
      </c>
      <c r="D92" s="68" t="s">
        <v>61</v>
      </c>
      <c r="E92" s="68" t="s">
        <v>62</v>
      </c>
      <c r="F92" s="68" t="s">
        <v>1242</v>
      </c>
      <c r="G92" s="68" t="s">
        <v>1190</v>
      </c>
      <c r="H92" s="68"/>
      <c r="I92" s="68"/>
      <c r="J92" s="68" t="n">
        <v>86</v>
      </c>
      <c r="K92" s="68" t="n">
        <v>12.5</v>
      </c>
      <c r="L92" s="68" t="n">
        <v>9.1</v>
      </c>
      <c r="M92" s="68"/>
      <c r="N92" s="68"/>
    </row>
    <row r="93" customFormat="false" ht="14.25" hidden="false" customHeight="true" outlineLevel="0" collapsed="false">
      <c r="A93" s="68" t="s">
        <v>1184</v>
      </c>
      <c r="B93" s="68" t="n">
        <v>1660</v>
      </c>
      <c r="C93" s="68" t="s">
        <v>1249</v>
      </c>
      <c r="D93" s="68" t="s">
        <v>61</v>
      </c>
      <c r="E93" s="68" t="s">
        <v>62</v>
      </c>
      <c r="F93" s="68" t="s">
        <v>1272</v>
      </c>
      <c r="G93" s="68" t="s">
        <v>1196</v>
      </c>
      <c r="H93" s="68"/>
      <c r="I93" s="68"/>
      <c r="J93" s="68"/>
      <c r="K93" s="68"/>
      <c r="L93" s="68"/>
      <c r="M93" s="68" t="n">
        <v>3.5</v>
      </c>
      <c r="N93" s="68" t="n">
        <v>2.74</v>
      </c>
    </row>
    <row r="94" customFormat="false" ht="14.25" hidden="false" customHeight="true" outlineLevel="0" collapsed="false">
      <c r="A94" s="68" t="s">
        <v>1184</v>
      </c>
      <c r="B94" s="68" t="n">
        <v>1661</v>
      </c>
      <c r="C94" s="68" t="s">
        <v>1249</v>
      </c>
      <c r="D94" s="68" t="s">
        <v>61</v>
      </c>
      <c r="E94" s="68" t="s">
        <v>62</v>
      </c>
      <c r="F94" s="68" t="s">
        <v>1245</v>
      </c>
      <c r="G94" s="68" t="s">
        <v>1190</v>
      </c>
      <c r="H94" s="68"/>
      <c r="I94" s="68"/>
      <c r="J94" s="68" t="n">
        <v>49</v>
      </c>
      <c r="K94" s="68" t="n">
        <v>3.2</v>
      </c>
      <c r="L94" s="68" t="n">
        <v>7.2</v>
      </c>
      <c r="M94" s="68"/>
      <c r="N94" s="68"/>
    </row>
    <row r="95" customFormat="false" ht="14.25" hidden="false" customHeight="true" outlineLevel="0" collapsed="false">
      <c r="A95" s="68" t="s">
        <v>1184</v>
      </c>
      <c r="B95" s="68" t="n">
        <v>1662</v>
      </c>
      <c r="C95" s="68" t="s">
        <v>1249</v>
      </c>
      <c r="D95" s="68" t="s">
        <v>61</v>
      </c>
      <c r="E95" s="68" t="s">
        <v>62</v>
      </c>
      <c r="F95" s="68" t="s">
        <v>1273</v>
      </c>
      <c r="G95" s="68" t="s">
        <v>1190</v>
      </c>
      <c r="H95" s="68"/>
      <c r="I95" s="68"/>
      <c r="J95" s="68" t="n">
        <v>16</v>
      </c>
      <c r="K95" s="68" t="n">
        <v>11</v>
      </c>
      <c r="L95" s="68" t="n">
        <v>2.1</v>
      </c>
      <c r="M95" s="68"/>
      <c r="N95" s="68"/>
    </row>
    <row r="96" customFormat="false" ht="14.25" hidden="false" customHeight="true" outlineLevel="0" collapsed="false">
      <c r="A96" s="68" t="s">
        <v>1184</v>
      </c>
      <c r="B96" s="68" t="n">
        <v>1663</v>
      </c>
      <c r="C96" s="68" t="s">
        <v>1249</v>
      </c>
      <c r="D96" s="68" t="s">
        <v>61</v>
      </c>
      <c r="E96" s="68" t="s">
        <v>62</v>
      </c>
      <c r="F96" s="68" t="s">
        <v>1274</v>
      </c>
      <c r="G96" s="68" t="s">
        <v>1187</v>
      </c>
      <c r="H96" s="68" t="n">
        <v>834</v>
      </c>
      <c r="I96" s="68" t="s">
        <v>1194</v>
      </c>
      <c r="J96" s="68" t="n">
        <v>94</v>
      </c>
      <c r="K96" s="68"/>
      <c r="L96" s="68"/>
      <c r="M96" s="68"/>
      <c r="N96" s="68"/>
    </row>
    <row r="97" customFormat="false" ht="14.25" hidden="false" customHeight="true" outlineLevel="0" collapsed="false">
      <c r="A97" s="68" t="s">
        <v>1184</v>
      </c>
      <c r="B97" s="68" t="n">
        <v>1664</v>
      </c>
      <c r="C97" s="68" t="s">
        <v>1275</v>
      </c>
      <c r="D97" s="68" t="s">
        <v>55</v>
      </c>
      <c r="E97" s="68" t="s">
        <v>56</v>
      </c>
      <c r="F97" s="68" t="s">
        <v>1189</v>
      </c>
      <c r="G97" s="68" t="s">
        <v>1190</v>
      </c>
      <c r="H97" s="68"/>
      <c r="I97" s="68"/>
      <c r="J97" s="68" t="n">
        <v>26</v>
      </c>
      <c r="K97" s="68" t="n">
        <v>13.3</v>
      </c>
      <c r="L97" s="68" t="n">
        <v>2.9</v>
      </c>
      <c r="M97" s="68"/>
      <c r="N97" s="68"/>
    </row>
    <row r="98" customFormat="false" ht="14.25" hidden="false" customHeight="true" outlineLevel="0" collapsed="false">
      <c r="A98" s="68" t="s">
        <v>1184</v>
      </c>
      <c r="B98" s="68" t="n">
        <v>1665</v>
      </c>
      <c r="C98" s="68" t="s">
        <v>1275</v>
      </c>
      <c r="D98" s="68" t="s">
        <v>55</v>
      </c>
      <c r="E98" s="68" t="s">
        <v>56</v>
      </c>
      <c r="F98" s="68" t="s">
        <v>1276</v>
      </c>
      <c r="G98" s="68" t="s">
        <v>1196</v>
      </c>
      <c r="H98" s="68"/>
      <c r="I98" s="68"/>
      <c r="J98" s="68" t="n">
        <v>59</v>
      </c>
      <c r="K98" s="68"/>
      <c r="L98" s="68"/>
      <c r="M98" s="68" t="n">
        <v>2</v>
      </c>
      <c r="N98" s="68" t="n">
        <v>2.56</v>
      </c>
    </row>
    <row r="99" customFormat="false" ht="14.25" hidden="false" customHeight="true" outlineLevel="0" collapsed="false">
      <c r="A99" s="68" t="s">
        <v>1184</v>
      </c>
      <c r="B99" s="68" t="n">
        <v>1666</v>
      </c>
      <c r="C99" s="68" t="s">
        <v>1275</v>
      </c>
      <c r="D99" s="68" t="s">
        <v>55</v>
      </c>
      <c r="E99" s="68" t="s">
        <v>56</v>
      </c>
      <c r="F99" s="68" t="s">
        <v>1277</v>
      </c>
      <c r="G99" s="68" t="s">
        <v>1190</v>
      </c>
      <c r="H99" s="68"/>
      <c r="I99" s="68"/>
      <c r="J99" s="68" t="n">
        <v>8</v>
      </c>
      <c r="K99" s="68" t="n">
        <v>7.6</v>
      </c>
      <c r="L99" s="68" t="n">
        <v>0</v>
      </c>
      <c r="M99" s="68"/>
      <c r="N99" s="68"/>
    </row>
    <row r="100" customFormat="false" ht="14.25" hidden="false" customHeight="true" outlineLevel="0" collapsed="false">
      <c r="A100" s="68" t="s">
        <v>1184</v>
      </c>
      <c r="B100" s="68" t="n">
        <v>1667</v>
      </c>
      <c r="C100" s="68" t="s">
        <v>1275</v>
      </c>
      <c r="D100" s="68" t="s">
        <v>55</v>
      </c>
      <c r="E100" s="68" t="s">
        <v>56</v>
      </c>
      <c r="F100" s="68" t="s">
        <v>1222</v>
      </c>
      <c r="G100" s="68" t="s">
        <v>1196</v>
      </c>
      <c r="H100" s="68"/>
      <c r="I100" s="68"/>
      <c r="J100" s="68"/>
      <c r="K100" s="68"/>
      <c r="L100" s="68"/>
      <c r="M100" s="68" t="n">
        <v>3.9</v>
      </c>
      <c r="N100" s="68" t="n">
        <v>3.47</v>
      </c>
    </row>
    <row r="101" customFormat="false" ht="14.25" hidden="false" customHeight="true" outlineLevel="0" collapsed="false">
      <c r="A101" s="68" t="s">
        <v>1184</v>
      </c>
      <c r="B101" s="68" t="n">
        <v>1668</v>
      </c>
      <c r="C101" s="68" t="s">
        <v>1275</v>
      </c>
      <c r="D101" s="68" t="s">
        <v>55</v>
      </c>
      <c r="E101" s="68" t="s">
        <v>56</v>
      </c>
      <c r="F101" s="68" t="s">
        <v>1278</v>
      </c>
      <c r="G101" s="68" t="s">
        <v>1196</v>
      </c>
      <c r="H101" s="68"/>
      <c r="I101" s="68"/>
      <c r="J101" s="68" t="n">
        <v>11</v>
      </c>
      <c r="K101" s="68"/>
      <c r="L101" s="68"/>
      <c r="M101" s="68" t="n">
        <v>4.4</v>
      </c>
      <c r="N101" s="68" t="n">
        <v>3</v>
      </c>
    </row>
    <row r="102" customFormat="false" ht="14.25" hidden="false" customHeight="true" outlineLevel="0" collapsed="false">
      <c r="A102" s="68" t="s">
        <v>1184</v>
      </c>
      <c r="B102" s="68" t="n">
        <v>1669</v>
      </c>
      <c r="C102" s="68" t="s">
        <v>1275</v>
      </c>
      <c r="D102" s="68" t="s">
        <v>55</v>
      </c>
      <c r="E102" s="68" t="s">
        <v>56</v>
      </c>
      <c r="F102" s="68" t="s">
        <v>1223</v>
      </c>
      <c r="G102" s="68" t="s">
        <v>1196</v>
      </c>
      <c r="H102" s="68"/>
      <c r="I102" s="68"/>
      <c r="J102" s="68" t="n">
        <v>13</v>
      </c>
      <c r="K102" s="68"/>
      <c r="L102" s="68"/>
      <c r="M102" s="68" t="n">
        <v>1.9</v>
      </c>
      <c r="N102" s="68" t="n">
        <v>3.44</v>
      </c>
    </row>
    <row r="103" customFormat="false" ht="14.25" hidden="false" customHeight="true" outlineLevel="0" collapsed="false">
      <c r="A103" s="68" t="s">
        <v>1184</v>
      </c>
      <c r="B103" s="68" t="n">
        <v>1670</v>
      </c>
      <c r="C103" s="68" t="s">
        <v>1275</v>
      </c>
      <c r="D103" s="68" t="s">
        <v>55</v>
      </c>
      <c r="E103" s="68" t="s">
        <v>56</v>
      </c>
      <c r="F103" s="68" t="s">
        <v>1225</v>
      </c>
      <c r="G103" s="68" t="s">
        <v>1187</v>
      </c>
      <c r="H103" s="68" t="n">
        <v>37</v>
      </c>
      <c r="I103" s="68" t="s">
        <v>1194</v>
      </c>
      <c r="J103" s="68"/>
      <c r="K103" s="68"/>
      <c r="L103" s="68"/>
      <c r="M103" s="68"/>
      <c r="N103" s="68"/>
    </row>
    <row r="104" customFormat="false" ht="14.25" hidden="false" customHeight="true" outlineLevel="0" collapsed="false">
      <c r="A104" s="68" t="s">
        <v>1184</v>
      </c>
      <c r="B104" s="68" t="n">
        <v>1671</v>
      </c>
      <c r="C104" s="68" t="s">
        <v>1275</v>
      </c>
      <c r="D104" s="68" t="s">
        <v>55</v>
      </c>
      <c r="E104" s="68" t="s">
        <v>56</v>
      </c>
      <c r="F104" s="68" t="s">
        <v>1279</v>
      </c>
      <c r="G104" s="68" t="s">
        <v>1187</v>
      </c>
      <c r="H104" s="68" t="n">
        <v>847</v>
      </c>
      <c r="I104" s="68" t="s">
        <v>1188</v>
      </c>
      <c r="J104" s="68" t="n">
        <v>71</v>
      </c>
      <c r="K104" s="68"/>
      <c r="L104" s="68"/>
      <c r="M104" s="68"/>
      <c r="N104" s="68"/>
    </row>
    <row r="105" customFormat="false" ht="14.25" hidden="false" customHeight="true" outlineLevel="0" collapsed="false">
      <c r="A105" s="68" t="s">
        <v>1184</v>
      </c>
      <c r="B105" s="68" t="n">
        <v>1672</v>
      </c>
      <c r="C105" s="68" t="s">
        <v>1275</v>
      </c>
      <c r="D105" s="68" t="s">
        <v>55</v>
      </c>
      <c r="E105" s="68" t="s">
        <v>56</v>
      </c>
      <c r="F105" s="68" t="s">
        <v>1280</v>
      </c>
      <c r="G105" s="68" t="s">
        <v>1187</v>
      </c>
      <c r="H105" s="68" t="n">
        <v>28</v>
      </c>
      <c r="I105" s="68" t="s">
        <v>1194</v>
      </c>
      <c r="J105" s="68" t="n">
        <v>84</v>
      </c>
      <c r="K105" s="68"/>
      <c r="L105" s="68"/>
      <c r="M105" s="68"/>
      <c r="N105" s="68"/>
    </row>
    <row r="106" customFormat="false" ht="14.25" hidden="false" customHeight="true" outlineLevel="0" collapsed="false">
      <c r="A106" s="68" t="s">
        <v>1184</v>
      </c>
      <c r="B106" s="68" t="n">
        <v>1673</v>
      </c>
      <c r="C106" s="68" t="s">
        <v>1275</v>
      </c>
      <c r="D106" s="68" t="s">
        <v>55</v>
      </c>
      <c r="E106" s="68" t="s">
        <v>56</v>
      </c>
      <c r="F106" s="68" t="s">
        <v>1281</v>
      </c>
      <c r="G106" s="68" t="s">
        <v>1187</v>
      </c>
      <c r="H106" s="68" t="n">
        <v>602</v>
      </c>
      <c r="I106" s="68" t="s">
        <v>1209</v>
      </c>
      <c r="J106" s="68" t="n">
        <v>34</v>
      </c>
      <c r="K106" s="68"/>
      <c r="L106" s="68"/>
      <c r="M106" s="68"/>
      <c r="N106" s="68"/>
    </row>
    <row r="107" customFormat="false" ht="14.25" hidden="false" customHeight="true" outlineLevel="0" collapsed="false">
      <c r="A107" s="68" t="s">
        <v>1184</v>
      </c>
      <c r="B107" s="68" t="n">
        <v>1674</v>
      </c>
      <c r="C107" s="68" t="s">
        <v>1275</v>
      </c>
      <c r="D107" s="68" t="s">
        <v>55</v>
      </c>
      <c r="E107" s="68" t="s">
        <v>56</v>
      </c>
      <c r="F107" s="68" t="s">
        <v>1240</v>
      </c>
      <c r="G107" s="68" t="s">
        <v>1196</v>
      </c>
      <c r="H107" s="68"/>
      <c r="I107" s="68"/>
      <c r="J107" s="68" t="n">
        <v>21</v>
      </c>
      <c r="K107" s="68"/>
      <c r="L107" s="68"/>
      <c r="M107" s="68" t="n">
        <v>1.9</v>
      </c>
      <c r="N107" s="68" t="n">
        <v>3.06</v>
      </c>
    </row>
    <row r="108" customFormat="false" ht="14.25" hidden="false" customHeight="true" outlineLevel="0" collapsed="false">
      <c r="A108" s="68" t="s">
        <v>1184</v>
      </c>
      <c r="B108" s="68" t="n">
        <v>1675</v>
      </c>
      <c r="C108" s="68" t="s">
        <v>1275</v>
      </c>
      <c r="D108" s="68" t="s">
        <v>55</v>
      </c>
      <c r="E108" s="68" t="s">
        <v>56</v>
      </c>
      <c r="F108" s="68" t="s">
        <v>1213</v>
      </c>
      <c r="G108" s="68" t="s">
        <v>1196</v>
      </c>
      <c r="H108" s="68"/>
      <c r="I108" s="68"/>
      <c r="J108" s="68" t="n">
        <v>92</v>
      </c>
      <c r="K108" s="68"/>
      <c r="L108" s="68"/>
      <c r="M108" s="68" t="n">
        <v>4.3</v>
      </c>
      <c r="N108" s="68" t="n">
        <v>2.42</v>
      </c>
    </row>
    <row r="109" customFormat="false" ht="14.25" hidden="false" customHeight="true" outlineLevel="0" collapsed="false">
      <c r="A109" s="68" t="s">
        <v>1184</v>
      </c>
      <c r="B109" s="68" t="n">
        <v>1676</v>
      </c>
      <c r="C109" s="68" t="s">
        <v>1275</v>
      </c>
      <c r="D109" s="68" t="s">
        <v>55</v>
      </c>
      <c r="E109" s="68" t="s">
        <v>56</v>
      </c>
      <c r="F109" s="68" t="s">
        <v>1271</v>
      </c>
      <c r="G109" s="68" t="s">
        <v>1190</v>
      </c>
      <c r="H109" s="68"/>
      <c r="I109" s="68"/>
      <c r="J109" s="68" t="n">
        <v>67</v>
      </c>
      <c r="K109" s="68" t="n">
        <v>14</v>
      </c>
      <c r="L109" s="68" t="n">
        <v>5.2</v>
      </c>
      <c r="M109" s="68"/>
      <c r="N109" s="68"/>
    </row>
    <row r="110" customFormat="false" ht="14.25" hidden="false" customHeight="true" outlineLevel="0" collapsed="false">
      <c r="A110" s="68" t="s">
        <v>1184</v>
      </c>
      <c r="B110" s="68" t="n">
        <v>1677</v>
      </c>
      <c r="C110" s="68" t="s">
        <v>1275</v>
      </c>
      <c r="D110" s="68" t="s">
        <v>55</v>
      </c>
      <c r="E110" s="68" t="s">
        <v>56</v>
      </c>
      <c r="F110" s="68" t="s">
        <v>1282</v>
      </c>
      <c r="G110" s="68" t="s">
        <v>1190</v>
      </c>
      <c r="H110" s="68"/>
      <c r="I110" s="68"/>
      <c r="J110" s="68" t="n">
        <v>53</v>
      </c>
      <c r="K110" s="68" t="n">
        <v>14.1</v>
      </c>
      <c r="L110" s="68" t="n">
        <v>0</v>
      </c>
      <c r="M110" s="68"/>
      <c r="N110" s="68"/>
    </row>
    <row r="111" customFormat="false" ht="14.25" hidden="false" customHeight="true" outlineLevel="0" collapsed="false">
      <c r="A111" s="68" t="s">
        <v>1184</v>
      </c>
      <c r="B111" s="68" t="n">
        <v>1678</v>
      </c>
      <c r="C111" s="68" t="s">
        <v>1275</v>
      </c>
      <c r="D111" s="68" t="s">
        <v>55</v>
      </c>
      <c r="E111" s="68" t="s">
        <v>56</v>
      </c>
      <c r="F111" s="68" t="s">
        <v>1244</v>
      </c>
      <c r="G111" s="68" t="s">
        <v>1196</v>
      </c>
      <c r="H111" s="68"/>
      <c r="I111" s="68"/>
      <c r="J111" s="68" t="n">
        <v>95</v>
      </c>
      <c r="K111" s="68"/>
      <c r="L111" s="68"/>
      <c r="M111" s="68" t="n">
        <v>3</v>
      </c>
      <c r="N111" s="68" t="n">
        <v>0.83</v>
      </c>
    </row>
    <row r="112" customFormat="false" ht="14.25" hidden="false" customHeight="true" outlineLevel="0" collapsed="false">
      <c r="A112" s="68" t="s">
        <v>1184</v>
      </c>
      <c r="B112" s="68" t="n">
        <v>1679</v>
      </c>
      <c r="C112" s="68" t="s">
        <v>1275</v>
      </c>
      <c r="D112" s="68" t="s">
        <v>55</v>
      </c>
      <c r="E112" s="68" t="s">
        <v>56</v>
      </c>
      <c r="F112" s="68" t="s">
        <v>1273</v>
      </c>
      <c r="G112" s="68" t="s">
        <v>1196</v>
      </c>
      <c r="H112" s="68"/>
      <c r="I112" s="68"/>
      <c r="J112" s="68" t="n">
        <v>44</v>
      </c>
      <c r="K112" s="68"/>
      <c r="L112" s="68"/>
      <c r="M112" s="68" t="n">
        <v>1.4</v>
      </c>
      <c r="N112" s="68" t="n">
        <v>2.25</v>
      </c>
    </row>
    <row r="113" customFormat="false" ht="14.25" hidden="false" customHeight="true" outlineLevel="0" collapsed="false">
      <c r="A113" s="68" t="s">
        <v>1184</v>
      </c>
      <c r="B113" s="68" t="n">
        <v>1680</v>
      </c>
      <c r="C113" s="68" t="s">
        <v>1283</v>
      </c>
      <c r="D113" s="68" t="s">
        <v>64</v>
      </c>
      <c r="E113" s="68" t="s">
        <v>65</v>
      </c>
      <c r="F113" s="68" t="s">
        <v>1284</v>
      </c>
      <c r="G113" s="68" t="s">
        <v>1190</v>
      </c>
      <c r="H113" s="68"/>
      <c r="I113" s="68"/>
      <c r="J113" s="68"/>
      <c r="K113" s="68" t="n">
        <v>10.3</v>
      </c>
      <c r="L113" s="68" t="n">
        <v>2.1</v>
      </c>
      <c r="M113" s="68"/>
      <c r="N113" s="68"/>
    </row>
    <row r="114" customFormat="false" ht="14.25" hidden="false" customHeight="true" outlineLevel="0" collapsed="false">
      <c r="A114" s="68" t="s">
        <v>1184</v>
      </c>
      <c r="B114" s="68" t="n">
        <v>1681</v>
      </c>
      <c r="C114" s="68" t="s">
        <v>1283</v>
      </c>
      <c r="D114" s="68" t="s">
        <v>64</v>
      </c>
      <c r="E114" s="68" t="s">
        <v>65</v>
      </c>
      <c r="F114" s="68" t="s">
        <v>1219</v>
      </c>
      <c r="G114" s="68" t="s">
        <v>1187</v>
      </c>
      <c r="H114" s="68" t="n">
        <v>686</v>
      </c>
      <c r="I114" s="68" t="s">
        <v>1194</v>
      </c>
      <c r="J114" s="68" t="n">
        <v>30</v>
      </c>
      <c r="K114" s="68"/>
      <c r="L114" s="68"/>
      <c r="M114" s="68"/>
      <c r="N114" s="68"/>
    </row>
    <row r="115" customFormat="false" ht="14.25" hidden="false" customHeight="true" outlineLevel="0" collapsed="false">
      <c r="A115" s="68" t="s">
        <v>1184</v>
      </c>
      <c r="B115" s="68" t="n">
        <v>1682</v>
      </c>
      <c r="C115" s="68" t="s">
        <v>1283</v>
      </c>
      <c r="D115" s="68" t="s">
        <v>64</v>
      </c>
      <c r="E115" s="68" t="s">
        <v>65</v>
      </c>
      <c r="F115" s="68" t="s">
        <v>1220</v>
      </c>
      <c r="G115" s="68" t="s">
        <v>1187</v>
      </c>
      <c r="H115" s="68" t="n">
        <v>483</v>
      </c>
      <c r="I115" s="68" t="s">
        <v>1194</v>
      </c>
      <c r="J115" s="68" t="n">
        <v>94</v>
      </c>
      <c r="K115" s="68"/>
      <c r="L115" s="68"/>
      <c r="M115" s="68"/>
      <c r="N115" s="68"/>
    </row>
    <row r="116" customFormat="false" ht="14.25" hidden="false" customHeight="true" outlineLevel="0" collapsed="false">
      <c r="A116" s="68" t="s">
        <v>1184</v>
      </c>
      <c r="B116" s="68" t="n">
        <v>1683</v>
      </c>
      <c r="C116" s="68" t="s">
        <v>1283</v>
      </c>
      <c r="D116" s="68" t="s">
        <v>64</v>
      </c>
      <c r="E116" s="68" t="s">
        <v>65</v>
      </c>
      <c r="F116" s="68" t="s">
        <v>1285</v>
      </c>
      <c r="G116" s="68" t="s">
        <v>1196</v>
      </c>
      <c r="H116" s="68"/>
      <c r="I116" s="68"/>
      <c r="J116" s="68" t="n">
        <v>43</v>
      </c>
      <c r="K116" s="68"/>
      <c r="L116" s="68"/>
      <c r="M116" s="68" t="n">
        <v>3.5</v>
      </c>
      <c r="N116" s="68" t="n">
        <v>2.46</v>
      </c>
    </row>
    <row r="117" customFormat="false" ht="14.25" hidden="false" customHeight="true" outlineLevel="0" collapsed="false">
      <c r="A117" s="68" t="s">
        <v>1184</v>
      </c>
      <c r="B117" s="68" t="n">
        <v>1684</v>
      </c>
      <c r="C117" s="68" t="s">
        <v>1283</v>
      </c>
      <c r="D117" s="68" t="s">
        <v>64</v>
      </c>
      <c r="E117" s="68" t="s">
        <v>65</v>
      </c>
      <c r="F117" s="68" t="s">
        <v>1286</v>
      </c>
      <c r="G117" s="68" t="s">
        <v>1196</v>
      </c>
      <c r="H117" s="68"/>
      <c r="I117" s="68"/>
      <c r="J117" s="68" t="n">
        <v>84</v>
      </c>
      <c r="K117" s="68"/>
      <c r="L117" s="68"/>
      <c r="M117" s="68" t="n">
        <v>0.7</v>
      </c>
      <c r="N117" s="68" t="n">
        <v>1.41</v>
      </c>
    </row>
    <row r="118" customFormat="false" ht="14.25" hidden="false" customHeight="true" outlineLevel="0" collapsed="false">
      <c r="A118" s="68" t="s">
        <v>1184</v>
      </c>
      <c r="B118" s="68" t="n">
        <v>1685</v>
      </c>
      <c r="C118" s="68" t="s">
        <v>1283</v>
      </c>
      <c r="D118" s="68" t="s">
        <v>64</v>
      </c>
      <c r="E118" s="68" t="s">
        <v>65</v>
      </c>
      <c r="F118" s="68" t="s">
        <v>1225</v>
      </c>
      <c r="G118" s="68" t="s">
        <v>1196</v>
      </c>
      <c r="H118" s="68"/>
      <c r="I118" s="68"/>
      <c r="J118" s="68" t="n">
        <v>29</v>
      </c>
      <c r="K118" s="68"/>
      <c r="L118" s="68"/>
      <c r="M118" s="68" t="n">
        <v>4</v>
      </c>
      <c r="N118" s="68" t="n">
        <v>2.88</v>
      </c>
    </row>
    <row r="119" customFormat="false" ht="14.25" hidden="false" customHeight="true" outlineLevel="0" collapsed="false">
      <c r="A119" s="68" t="s">
        <v>1184</v>
      </c>
      <c r="B119" s="68" t="n">
        <v>1686</v>
      </c>
      <c r="C119" s="68" t="s">
        <v>1283</v>
      </c>
      <c r="D119" s="68" t="s">
        <v>64</v>
      </c>
      <c r="E119" s="68" t="s">
        <v>65</v>
      </c>
      <c r="F119" s="68" t="s">
        <v>1287</v>
      </c>
      <c r="G119" s="68" t="s">
        <v>1190</v>
      </c>
      <c r="H119" s="68"/>
      <c r="I119" s="68"/>
      <c r="J119" s="68" t="n">
        <v>92</v>
      </c>
      <c r="K119" s="68" t="n">
        <v>10.4</v>
      </c>
      <c r="L119" s="68" t="n">
        <v>0</v>
      </c>
      <c r="M119" s="68"/>
      <c r="N119" s="68"/>
    </row>
    <row r="120" customFormat="false" ht="14.25" hidden="false" customHeight="true" outlineLevel="0" collapsed="false">
      <c r="A120" s="68" t="s">
        <v>1184</v>
      </c>
      <c r="B120" s="68" t="n">
        <v>1687</v>
      </c>
      <c r="C120" s="68" t="s">
        <v>1283</v>
      </c>
      <c r="D120" s="68" t="s">
        <v>64</v>
      </c>
      <c r="E120" s="68" t="s">
        <v>65</v>
      </c>
      <c r="F120" s="68" t="s">
        <v>1288</v>
      </c>
      <c r="G120" s="68" t="s">
        <v>1187</v>
      </c>
      <c r="H120" s="68" t="n">
        <v>816</v>
      </c>
      <c r="I120" s="68" t="s">
        <v>1194</v>
      </c>
      <c r="J120" s="68" t="n">
        <v>10</v>
      </c>
      <c r="K120" s="68"/>
      <c r="L120" s="68"/>
      <c r="M120" s="68"/>
      <c r="N120" s="68"/>
    </row>
    <row r="121" customFormat="false" ht="14.25" hidden="false" customHeight="true" outlineLevel="0" collapsed="false">
      <c r="A121" s="68" t="s">
        <v>1184</v>
      </c>
      <c r="B121" s="68" t="n">
        <v>1688</v>
      </c>
      <c r="C121" s="68" t="s">
        <v>1283</v>
      </c>
      <c r="D121" s="68" t="s">
        <v>64</v>
      </c>
      <c r="E121" s="68" t="s">
        <v>65</v>
      </c>
      <c r="F121" s="68" t="s">
        <v>1227</v>
      </c>
      <c r="G121" s="68" t="s">
        <v>1187</v>
      </c>
      <c r="H121" s="68" t="n">
        <v>325</v>
      </c>
      <c r="I121" s="68" t="s">
        <v>1194</v>
      </c>
      <c r="J121" s="68" t="n">
        <v>26</v>
      </c>
      <c r="K121" s="68"/>
      <c r="L121" s="68"/>
      <c r="M121" s="68"/>
      <c r="N121" s="68"/>
    </row>
    <row r="122" customFormat="false" ht="14.25" hidden="false" customHeight="true" outlineLevel="0" collapsed="false">
      <c r="A122" s="68" t="s">
        <v>1184</v>
      </c>
      <c r="B122" s="68" t="n">
        <v>1689</v>
      </c>
      <c r="C122" s="68" t="s">
        <v>1283</v>
      </c>
      <c r="D122" s="68" t="s">
        <v>64</v>
      </c>
      <c r="E122" s="68" t="s">
        <v>65</v>
      </c>
      <c r="F122" s="68" t="s">
        <v>1289</v>
      </c>
      <c r="G122" s="68" t="s">
        <v>1190</v>
      </c>
      <c r="H122" s="68"/>
      <c r="I122" s="68"/>
      <c r="J122" s="68" t="n">
        <v>68</v>
      </c>
      <c r="K122" s="68" t="n">
        <v>23.1</v>
      </c>
      <c r="L122" s="68" t="n">
        <v>9.4</v>
      </c>
      <c r="M122" s="68"/>
      <c r="N122" s="68"/>
    </row>
    <row r="123" customFormat="false" ht="14.25" hidden="false" customHeight="true" outlineLevel="0" collapsed="false">
      <c r="A123" s="68" t="s">
        <v>1184</v>
      </c>
      <c r="B123" s="68" t="n">
        <v>1690</v>
      </c>
      <c r="C123" s="68" t="s">
        <v>1283</v>
      </c>
      <c r="D123" s="68" t="s">
        <v>64</v>
      </c>
      <c r="E123" s="68" t="s">
        <v>65</v>
      </c>
      <c r="F123" s="68" t="s">
        <v>1263</v>
      </c>
      <c r="G123" s="68" t="s">
        <v>1196</v>
      </c>
      <c r="H123" s="68"/>
      <c r="I123" s="68"/>
      <c r="J123" s="68" t="n">
        <v>14</v>
      </c>
      <c r="K123" s="68"/>
      <c r="L123" s="68"/>
      <c r="M123" s="68" t="n">
        <v>2.2</v>
      </c>
      <c r="N123" s="68" t="n">
        <v>2.88</v>
      </c>
    </row>
    <row r="124" customFormat="false" ht="14.25" hidden="false" customHeight="true" outlineLevel="0" collapsed="false">
      <c r="A124" s="68" t="s">
        <v>1184</v>
      </c>
      <c r="B124" s="68" t="n">
        <v>1691</v>
      </c>
      <c r="C124" s="68" t="s">
        <v>1283</v>
      </c>
      <c r="D124" s="68" t="s">
        <v>64</v>
      </c>
      <c r="E124" s="68" t="s">
        <v>65</v>
      </c>
      <c r="F124" s="68" t="s">
        <v>1290</v>
      </c>
      <c r="G124" s="68" t="s">
        <v>1187</v>
      </c>
      <c r="H124" s="68" t="n">
        <v>647</v>
      </c>
      <c r="I124" s="68" t="s">
        <v>1194</v>
      </c>
      <c r="J124" s="68" t="n">
        <v>10</v>
      </c>
      <c r="K124" s="68"/>
      <c r="L124" s="68"/>
      <c r="M124" s="68"/>
      <c r="N124" s="68"/>
    </row>
    <row r="125" customFormat="false" ht="14.25" hidden="false" customHeight="true" outlineLevel="0" collapsed="false">
      <c r="A125" s="68" t="s">
        <v>1184</v>
      </c>
      <c r="B125" s="68" t="n">
        <v>1692</v>
      </c>
      <c r="C125" s="68" t="s">
        <v>1283</v>
      </c>
      <c r="D125" s="68" t="s">
        <v>64</v>
      </c>
      <c r="E125" s="68" t="s">
        <v>65</v>
      </c>
      <c r="F125" s="68" t="s">
        <v>1291</v>
      </c>
      <c r="G125" s="68" t="s">
        <v>1190</v>
      </c>
      <c r="H125" s="68"/>
      <c r="I125" s="68"/>
      <c r="J125" s="68" t="n">
        <v>67</v>
      </c>
      <c r="K125" s="68" t="n">
        <v>12.1</v>
      </c>
      <c r="L125" s="68" t="n">
        <v>0.3</v>
      </c>
      <c r="M125" s="68"/>
      <c r="N125" s="68"/>
    </row>
    <row r="126" customFormat="false" ht="14.25" hidden="false" customHeight="true" outlineLevel="0" collapsed="false">
      <c r="A126" s="68" t="s">
        <v>1184</v>
      </c>
      <c r="B126" s="68" t="n">
        <v>1693</v>
      </c>
      <c r="C126" s="68" t="s">
        <v>1283</v>
      </c>
      <c r="D126" s="68" t="s">
        <v>64</v>
      </c>
      <c r="E126" s="68" t="s">
        <v>65</v>
      </c>
      <c r="F126" s="68" t="s">
        <v>1292</v>
      </c>
      <c r="G126" s="68" t="s">
        <v>1187</v>
      </c>
      <c r="H126" s="68" t="n">
        <v>871</v>
      </c>
      <c r="I126" s="68" t="s">
        <v>1194</v>
      </c>
      <c r="J126" s="68" t="n">
        <v>38</v>
      </c>
      <c r="K126" s="68"/>
      <c r="L126" s="68"/>
      <c r="M126" s="68"/>
      <c r="N126" s="68"/>
    </row>
    <row r="127" customFormat="false" ht="14.25" hidden="false" customHeight="true" outlineLevel="0" collapsed="false">
      <c r="A127" s="68" t="s">
        <v>1184</v>
      </c>
      <c r="B127" s="68" t="n">
        <v>1694</v>
      </c>
      <c r="C127" s="68" t="s">
        <v>1283</v>
      </c>
      <c r="D127" s="68" t="s">
        <v>64</v>
      </c>
      <c r="E127" s="68" t="s">
        <v>65</v>
      </c>
      <c r="F127" s="68" t="s">
        <v>1293</v>
      </c>
      <c r="G127" s="68" t="s">
        <v>1190</v>
      </c>
      <c r="H127" s="68"/>
      <c r="I127" s="68"/>
      <c r="J127" s="68" t="n">
        <v>49</v>
      </c>
      <c r="K127" s="68" t="n">
        <v>14.4</v>
      </c>
      <c r="L127" s="68" t="n">
        <v>4.5</v>
      </c>
      <c r="M127" s="68"/>
      <c r="N127" s="68"/>
    </row>
    <row r="128" customFormat="false" ht="14.25" hidden="false" customHeight="true" outlineLevel="0" collapsed="false">
      <c r="A128" s="68" t="s">
        <v>1184</v>
      </c>
      <c r="B128" s="68" t="n">
        <v>1695</v>
      </c>
      <c r="C128" s="68" t="s">
        <v>1283</v>
      </c>
      <c r="D128" s="68" t="s">
        <v>64</v>
      </c>
      <c r="E128" s="68" t="s">
        <v>65</v>
      </c>
      <c r="F128" s="68" t="s">
        <v>1294</v>
      </c>
      <c r="G128" s="68" t="s">
        <v>1196</v>
      </c>
      <c r="H128" s="68"/>
      <c r="I128" s="68"/>
      <c r="J128" s="68" t="n">
        <v>76</v>
      </c>
      <c r="K128" s="68"/>
      <c r="L128" s="68"/>
      <c r="M128" s="68" t="n">
        <v>0.8</v>
      </c>
      <c r="N128" s="68" t="n">
        <v>2.46</v>
      </c>
    </row>
    <row r="129" customFormat="false" ht="14.25" hidden="false" customHeight="true" outlineLevel="0" collapsed="false">
      <c r="A129" s="68" t="s">
        <v>1184</v>
      </c>
      <c r="B129" s="68" t="n">
        <v>1696</v>
      </c>
      <c r="C129" s="68" t="s">
        <v>1295</v>
      </c>
      <c r="D129" s="68" t="s">
        <v>61</v>
      </c>
      <c r="E129" s="68" t="s">
        <v>62</v>
      </c>
      <c r="F129" s="68" t="s">
        <v>1296</v>
      </c>
      <c r="G129" s="68" t="s">
        <v>1187</v>
      </c>
      <c r="H129" s="68" t="n">
        <v>648</v>
      </c>
      <c r="I129" s="68" t="s">
        <v>1209</v>
      </c>
      <c r="J129" s="68" t="n">
        <v>75</v>
      </c>
      <c r="K129" s="68"/>
      <c r="L129" s="68"/>
      <c r="M129" s="68"/>
      <c r="N129" s="68"/>
    </row>
    <row r="130" customFormat="false" ht="14.25" hidden="false" customHeight="true" outlineLevel="0" collapsed="false">
      <c r="A130" s="68" t="s">
        <v>1184</v>
      </c>
      <c r="B130" s="68" t="n">
        <v>1697</v>
      </c>
      <c r="C130" s="68" t="s">
        <v>1295</v>
      </c>
      <c r="D130" s="68" t="s">
        <v>61</v>
      </c>
      <c r="E130" s="68" t="s">
        <v>62</v>
      </c>
      <c r="F130" s="68" t="s">
        <v>1297</v>
      </c>
      <c r="G130" s="68" t="s">
        <v>1190</v>
      </c>
      <c r="H130" s="68"/>
      <c r="I130" s="68"/>
      <c r="J130" s="68" t="n">
        <v>50</v>
      </c>
      <c r="K130" s="68" t="n">
        <v>14.6</v>
      </c>
      <c r="L130" s="68" t="n">
        <v>6.6</v>
      </c>
      <c r="M130" s="68"/>
      <c r="N130" s="68"/>
    </row>
    <row r="131" customFormat="false" ht="14.25" hidden="false" customHeight="true" outlineLevel="0" collapsed="false">
      <c r="A131" s="68" t="s">
        <v>1184</v>
      </c>
      <c r="B131" s="68" t="n">
        <v>1698</v>
      </c>
      <c r="C131" s="68" t="s">
        <v>1295</v>
      </c>
      <c r="D131" s="68" t="s">
        <v>61</v>
      </c>
      <c r="E131" s="68" t="s">
        <v>62</v>
      </c>
      <c r="F131" s="68" t="s">
        <v>1298</v>
      </c>
      <c r="G131" s="68" t="s">
        <v>1187</v>
      </c>
      <c r="H131" s="68" t="n">
        <v>735</v>
      </c>
      <c r="I131" s="68" t="s">
        <v>1194</v>
      </c>
      <c r="J131" s="68"/>
      <c r="K131" s="68"/>
      <c r="L131" s="68"/>
      <c r="M131" s="68"/>
      <c r="N131" s="68"/>
    </row>
    <row r="132" customFormat="false" ht="14.25" hidden="false" customHeight="true" outlineLevel="0" collapsed="false">
      <c r="A132" s="68" t="s">
        <v>1184</v>
      </c>
      <c r="B132" s="68" t="n">
        <v>1699</v>
      </c>
      <c r="C132" s="68" t="s">
        <v>1295</v>
      </c>
      <c r="D132" s="68" t="s">
        <v>61</v>
      </c>
      <c r="E132" s="68" t="s">
        <v>62</v>
      </c>
      <c r="F132" s="68" t="s">
        <v>1299</v>
      </c>
      <c r="G132" s="68" t="s">
        <v>1190</v>
      </c>
      <c r="H132" s="68"/>
      <c r="I132" s="68"/>
      <c r="J132" s="68" t="n">
        <v>97</v>
      </c>
      <c r="K132" s="68" t="n">
        <v>18.9</v>
      </c>
      <c r="L132" s="68" t="n">
        <v>1.3</v>
      </c>
      <c r="M132" s="68"/>
      <c r="N132" s="68"/>
    </row>
    <row r="133" customFormat="false" ht="14.25" hidden="false" customHeight="true" outlineLevel="0" collapsed="false">
      <c r="A133" s="68" t="s">
        <v>1184</v>
      </c>
      <c r="B133" s="68" t="n">
        <v>1700</v>
      </c>
      <c r="C133" s="68" t="s">
        <v>1295</v>
      </c>
      <c r="D133" s="68" t="s">
        <v>61</v>
      </c>
      <c r="E133" s="68" t="s">
        <v>62</v>
      </c>
      <c r="F133" s="68" t="s">
        <v>1254</v>
      </c>
      <c r="G133" s="68" t="s">
        <v>1196</v>
      </c>
      <c r="H133" s="68"/>
      <c r="I133" s="68"/>
      <c r="J133" s="68" t="n">
        <v>12</v>
      </c>
      <c r="K133" s="68"/>
      <c r="L133" s="68"/>
      <c r="M133" s="68" t="n">
        <v>3.3</v>
      </c>
      <c r="N133" s="68" t="n">
        <v>1.61</v>
      </c>
    </row>
    <row r="134" customFormat="false" ht="14.25" hidden="false" customHeight="true" outlineLevel="0" collapsed="false">
      <c r="A134" s="68" t="s">
        <v>1184</v>
      </c>
      <c r="B134" s="68" t="n">
        <v>1701</v>
      </c>
      <c r="C134" s="68" t="s">
        <v>1295</v>
      </c>
      <c r="D134" s="68" t="s">
        <v>61</v>
      </c>
      <c r="E134" s="68" t="s">
        <v>62</v>
      </c>
      <c r="F134" s="68" t="s">
        <v>1278</v>
      </c>
      <c r="G134" s="68" t="s">
        <v>1187</v>
      </c>
      <c r="H134" s="68" t="n">
        <v>791</v>
      </c>
      <c r="I134" s="68" t="s">
        <v>1194</v>
      </c>
      <c r="J134" s="68" t="n">
        <v>28</v>
      </c>
      <c r="K134" s="68"/>
      <c r="L134" s="68"/>
      <c r="M134" s="68"/>
      <c r="N134" s="68"/>
    </row>
    <row r="135" customFormat="false" ht="14.25" hidden="false" customHeight="true" outlineLevel="0" collapsed="false">
      <c r="A135" s="68" t="s">
        <v>1184</v>
      </c>
      <c r="B135" s="68" t="n">
        <v>1702</v>
      </c>
      <c r="C135" s="68" t="s">
        <v>1295</v>
      </c>
      <c r="D135" s="68" t="s">
        <v>61</v>
      </c>
      <c r="E135" s="68" t="s">
        <v>62</v>
      </c>
      <c r="F135" s="68" t="s">
        <v>1300</v>
      </c>
      <c r="G135" s="68" t="s">
        <v>1187</v>
      </c>
      <c r="H135" s="68" t="n">
        <v>774</v>
      </c>
      <c r="I135" s="68" t="s">
        <v>1188</v>
      </c>
      <c r="J135" s="68" t="n">
        <v>74</v>
      </c>
      <c r="K135" s="68"/>
      <c r="L135" s="68"/>
      <c r="M135" s="68"/>
      <c r="N135" s="68"/>
    </row>
    <row r="136" customFormat="false" ht="14.25" hidden="false" customHeight="true" outlineLevel="0" collapsed="false">
      <c r="A136" s="68" t="s">
        <v>1184</v>
      </c>
      <c r="B136" s="68" t="n">
        <v>1703</v>
      </c>
      <c r="C136" s="68" t="s">
        <v>1295</v>
      </c>
      <c r="D136" s="68" t="s">
        <v>61</v>
      </c>
      <c r="E136" s="68" t="s">
        <v>62</v>
      </c>
      <c r="F136" s="68" t="s">
        <v>1301</v>
      </c>
      <c r="G136" s="68" t="s">
        <v>1190</v>
      </c>
      <c r="H136" s="68"/>
      <c r="I136" s="68"/>
      <c r="J136" s="68" t="n">
        <v>31</v>
      </c>
      <c r="K136" s="68" t="n">
        <v>16.4</v>
      </c>
      <c r="L136" s="68" t="n">
        <v>0</v>
      </c>
      <c r="M136" s="68"/>
      <c r="N136" s="68"/>
    </row>
    <row r="137" customFormat="false" ht="14.25" hidden="false" customHeight="true" outlineLevel="0" collapsed="false">
      <c r="A137" s="68" t="s">
        <v>1184</v>
      </c>
      <c r="B137" s="68" t="n">
        <v>1704</v>
      </c>
      <c r="C137" s="68" t="s">
        <v>1295</v>
      </c>
      <c r="D137" s="68" t="s">
        <v>61</v>
      </c>
      <c r="E137" s="68" t="s">
        <v>62</v>
      </c>
      <c r="F137" s="68" t="s">
        <v>1225</v>
      </c>
      <c r="G137" s="68" t="s">
        <v>1187</v>
      </c>
      <c r="H137" s="68" t="n">
        <v>891</v>
      </c>
      <c r="I137" s="68" t="s">
        <v>1194</v>
      </c>
      <c r="J137" s="68" t="n">
        <v>19</v>
      </c>
      <c r="K137" s="68"/>
      <c r="L137" s="68"/>
      <c r="M137" s="68"/>
      <c r="N137" s="68"/>
    </row>
    <row r="138" customFormat="false" ht="14.25" hidden="false" customHeight="true" outlineLevel="0" collapsed="false">
      <c r="A138" s="68" t="s">
        <v>1184</v>
      </c>
      <c r="B138" s="68" t="n">
        <v>1705</v>
      </c>
      <c r="C138" s="68" t="s">
        <v>1295</v>
      </c>
      <c r="D138" s="68" t="s">
        <v>61</v>
      </c>
      <c r="E138" s="68" t="s">
        <v>62</v>
      </c>
      <c r="F138" s="68" t="s">
        <v>1226</v>
      </c>
      <c r="G138" s="68" t="s">
        <v>1196</v>
      </c>
      <c r="H138" s="68"/>
      <c r="I138" s="68"/>
      <c r="J138" s="68" t="n">
        <v>70</v>
      </c>
      <c r="K138" s="68"/>
      <c r="L138" s="68"/>
      <c r="M138" s="68" t="n">
        <v>1.9</v>
      </c>
      <c r="N138" s="68" t="n">
        <v>1.25</v>
      </c>
    </row>
    <row r="139" customFormat="false" ht="14.25" hidden="false" customHeight="true" outlineLevel="0" collapsed="false">
      <c r="A139" s="68" t="s">
        <v>1184</v>
      </c>
      <c r="B139" s="68" t="n">
        <v>1706</v>
      </c>
      <c r="C139" s="68" t="s">
        <v>1295</v>
      </c>
      <c r="D139" s="68" t="s">
        <v>61</v>
      </c>
      <c r="E139" s="68" t="s">
        <v>62</v>
      </c>
      <c r="F139" s="68" t="s">
        <v>1201</v>
      </c>
      <c r="G139" s="68" t="s">
        <v>1187</v>
      </c>
      <c r="H139" s="68" t="n">
        <v>658</v>
      </c>
      <c r="I139" s="68" t="s">
        <v>1194</v>
      </c>
      <c r="J139" s="68" t="n">
        <v>25</v>
      </c>
      <c r="K139" s="68"/>
      <c r="L139" s="68"/>
      <c r="M139" s="68"/>
      <c r="N139" s="68"/>
    </row>
    <row r="140" customFormat="false" ht="14.25" hidden="false" customHeight="true" outlineLevel="0" collapsed="false">
      <c r="A140" s="68" t="s">
        <v>1184</v>
      </c>
      <c r="B140" s="68" t="n">
        <v>1707</v>
      </c>
      <c r="C140" s="68" t="s">
        <v>1295</v>
      </c>
      <c r="D140" s="68" t="s">
        <v>61</v>
      </c>
      <c r="E140" s="68" t="s">
        <v>62</v>
      </c>
      <c r="F140" s="68" t="s">
        <v>1259</v>
      </c>
      <c r="G140" s="68" t="s">
        <v>1196</v>
      </c>
      <c r="H140" s="68"/>
      <c r="I140" s="68"/>
      <c r="J140" s="68"/>
      <c r="K140" s="68"/>
      <c r="L140" s="68"/>
      <c r="M140" s="68" t="n">
        <v>0.8</v>
      </c>
      <c r="N140" s="68" t="n">
        <v>3.52</v>
      </c>
    </row>
    <row r="141" customFormat="false" ht="14.25" hidden="false" customHeight="true" outlineLevel="0" collapsed="false">
      <c r="A141" s="68" t="s">
        <v>1184</v>
      </c>
      <c r="B141" s="68" t="n">
        <v>1708</v>
      </c>
      <c r="C141" s="68" t="s">
        <v>1295</v>
      </c>
      <c r="D141" s="68" t="s">
        <v>61</v>
      </c>
      <c r="E141" s="68" t="s">
        <v>62</v>
      </c>
      <c r="F141" s="68" t="s">
        <v>1260</v>
      </c>
      <c r="G141" s="68" t="s">
        <v>1190</v>
      </c>
      <c r="H141" s="68"/>
      <c r="I141" s="68"/>
      <c r="J141" s="68" t="n">
        <v>57</v>
      </c>
      <c r="K141" s="68" t="n">
        <v>16</v>
      </c>
      <c r="L141" s="68" t="n">
        <v>7.1</v>
      </c>
      <c r="M141" s="68"/>
      <c r="N141" s="68"/>
    </row>
    <row r="142" customFormat="false" ht="14.25" hidden="false" customHeight="true" outlineLevel="0" collapsed="false">
      <c r="A142" s="68" t="s">
        <v>1184</v>
      </c>
      <c r="B142" s="68" t="n">
        <v>1709</v>
      </c>
      <c r="C142" s="68" t="s">
        <v>1295</v>
      </c>
      <c r="D142" s="68" t="s">
        <v>61</v>
      </c>
      <c r="E142" s="68" t="s">
        <v>62</v>
      </c>
      <c r="F142" s="68" t="s">
        <v>1230</v>
      </c>
      <c r="G142" s="68" t="s">
        <v>1196</v>
      </c>
      <c r="H142" s="68"/>
      <c r="I142" s="68"/>
      <c r="J142" s="68" t="n">
        <v>60</v>
      </c>
      <c r="K142" s="68"/>
      <c r="L142" s="68"/>
      <c r="M142" s="68" t="n">
        <v>1.2</v>
      </c>
      <c r="N142" s="68" t="n">
        <v>1.01</v>
      </c>
    </row>
    <row r="143" customFormat="false" ht="14.25" hidden="false" customHeight="true" outlineLevel="0" collapsed="false">
      <c r="A143" s="68" t="s">
        <v>1184</v>
      </c>
      <c r="B143" s="68" t="n">
        <v>1710</v>
      </c>
      <c r="C143" s="68" t="s">
        <v>1295</v>
      </c>
      <c r="D143" s="68" t="s">
        <v>61</v>
      </c>
      <c r="E143" s="68" t="s">
        <v>62</v>
      </c>
      <c r="F143" s="68" t="s">
        <v>1205</v>
      </c>
      <c r="G143" s="68" t="s">
        <v>1190</v>
      </c>
      <c r="H143" s="68"/>
      <c r="I143" s="68"/>
      <c r="J143" s="68"/>
      <c r="K143" s="68" t="n">
        <v>8.6</v>
      </c>
      <c r="L143" s="68" t="n">
        <v>6</v>
      </c>
      <c r="M143" s="68"/>
      <c r="N143" s="68"/>
    </row>
    <row r="144" customFormat="false" ht="14.25" hidden="false" customHeight="true" outlineLevel="0" collapsed="false">
      <c r="A144" s="68" t="s">
        <v>1184</v>
      </c>
      <c r="B144" s="68" t="n">
        <v>1711</v>
      </c>
      <c r="C144" s="68" t="s">
        <v>1295</v>
      </c>
      <c r="D144" s="68" t="s">
        <v>61</v>
      </c>
      <c r="E144" s="68" t="s">
        <v>62</v>
      </c>
      <c r="F144" s="68" t="s">
        <v>1302</v>
      </c>
      <c r="G144" s="68" t="s">
        <v>1190</v>
      </c>
      <c r="H144" s="68"/>
      <c r="I144" s="68"/>
      <c r="J144" s="68" t="n">
        <v>19</v>
      </c>
      <c r="K144" s="68" t="n">
        <v>5.4</v>
      </c>
      <c r="L144" s="68" t="n">
        <v>2.1</v>
      </c>
      <c r="M144" s="68"/>
      <c r="N144" s="68"/>
    </row>
    <row r="145" customFormat="false" ht="14.25" hidden="false" customHeight="true" outlineLevel="0" collapsed="false">
      <c r="A145" s="68" t="s">
        <v>1184</v>
      </c>
      <c r="B145" s="68" t="n">
        <v>1712</v>
      </c>
      <c r="C145" s="68" t="s">
        <v>1295</v>
      </c>
      <c r="D145" s="68" t="s">
        <v>61</v>
      </c>
      <c r="E145" s="68" t="s">
        <v>62</v>
      </c>
      <c r="F145" s="68" t="s">
        <v>1303</v>
      </c>
      <c r="G145" s="68" t="s">
        <v>1190</v>
      </c>
      <c r="H145" s="68"/>
      <c r="I145" s="68"/>
      <c r="J145" s="68" t="n">
        <v>40</v>
      </c>
      <c r="K145" s="68" t="n">
        <v>9.1</v>
      </c>
      <c r="L145" s="68" t="n">
        <v>0</v>
      </c>
      <c r="M145" s="68"/>
      <c r="N145" s="68"/>
    </row>
    <row r="146" customFormat="false" ht="14.25" hidden="false" customHeight="true" outlineLevel="0" collapsed="false">
      <c r="A146" s="68" t="s">
        <v>1184</v>
      </c>
      <c r="B146" s="68" t="n">
        <v>1713</v>
      </c>
      <c r="C146" s="68" t="s">
        <v>1295</v>
      </c>
      <c r="D146" s="68" t="s">
        <v>61</v>
      </c>
      <c r="E146" s="68" t="s">
        <v>62</v>
      </c>
      <c r="F146" s="68" t="s">
        <v>1211</v>
      </c>
      <c r="G146" s="68" t="s">
        <v>1196</v>
      </c>
      <c r="H146" s="68"/>
      <c r="I146" s="68"/>
      <c r="J146" s="68" t="n">
        <v>65</v>
      </c>
      <c r="K146" s="68"/>
      <c r="L146" s="68"/>
      <c r="M146" s="68" t="n">
        <v>3</v>
      </c>
      <c r="N146" s="68" t="n">
        <v>0.86</v>
      </c>
    </row>
    <row r="147" customFormat="false" ht="14.25" hidden="false" customHeight="true" outlineLevel="0" collapsed="false">
      <c r="A147" s="68" t="s">
        <v>1184</v>
      </c>
      <c r="B147" s="68" t="n">
        <v>1714</v>
      </c>
      <c r="C147" s="68" t="s">
        <v>1295</v>
      </c>
      <c r="D147" s="68" t="s">
        <v>61</v>
      </c>
      <c r="E147" s="68" t="s">
        <v>62</v>
      </c>
      <c r="F147" s="68" t="s">
        <v>1304</v>
      </c>
      <c r="G147" s="68" t="s">
        <v>1190</v>
      </c>
      <c r="H147" s="68"/>
      <c r="I147" s="68"/>
      <c r="J147" s="68" t="n">
        <v>62</v>
      </c>
      <c r="K147" s="68" t="n">
        <v>8.3</v>
      </c>
      <c r="L147" s="68" t="n">
        <v>9.6</v>
      </c>
      <c r="M147" s="68"/>
      <c r="N147" s="68"/>
    </row>
    <row r="148" customFormat="false" ht="14.25" hidden="false" customHeight="true" outlineLevel="0" collapsed="false">
      <c r="A148" s="68" t="s">
        <v>1184</v>
      </c>
      <c r="B148" s="68" t="n">
        <v>1715</v>
      </c>
      <c r="C148" s="68" t="s">
        <v>1295</v>
      </c>
      <c r="D148" s="68" t="s">
        <v>61</v>
      </c>
      <c r="E148" s="68" t="s">
        <v>62</v>
      </c>
      <c r="F148" s="68" t="s">
        <v>1305</v>
      </c>
      <c r="G148" s="68" t="s">
        <v>1196</v>
      </c>
      <c r="H148" s="68"/>
      <c r="I148" s="68"/>
      <c r="J148" s="68" t="n">
        <v>30</v>
      </c>
      <c r="K148" s="68"/>
      <c r="L148" s="68"/>
      <c r="M148" s="68" t="n">
        <v>1.9</v>
      </c>
      <c r="N148" s="68" t="n">
        <v>0.57</v>
      </c>
    </row>
    <row r="149" customFormat="false" ht="14.25" hidden="false" customHeight="true" outlineLevel="0" collapsed="false">
      <c r="A149" s="68" t="s">
        <v>1184</v>
      </c>
      <c r="B149" s="68" t="n">
        <v>1716</v>
      </c>
      <c r="C149" s="68" t="s">
        <v>1295</v>
      </c>
      <c r="D149" s="68" t="s">
        <v>61</v>
      </c>
      <c r="E149" s="68" t="s">
        <v>62</v>
      </c>
      <c r="F149" s="68" t="s">
        <v>1306</v>
      </c>
      <c r="G149" s="68" t="s">
        <v>1190</v>
      </c>
      <c r="H149" s="68"/>
      <c r="I149" s="68"/>
      <c r="J149" s="68" t="n">
        <v>71</v>
      </c>
      <c r="K149" s="68" t="n">
        <v>14.7</v>
      </c>
      <c r="L149" s="68" t="n">
        <v>0</v>
      </c>
      <c r="M149" s="68"/>
      <c r="N149" s="68"/>
    </row>
    <row r="150" customFormat="false" ht="14.25" hidden="false" customHeight="true" outlineLevel="0" collapsed="false">
      <c r="A150" s="68" t="s">
        <v>1184</v>
      </c>
      <c r="B150" s="68" t="n">
        <v>1717</v>
      </c>
      <c r="C150" s="68" t="s">
        <v>1307</v>
      </c>
      <c r="D150" s="68" t="s">
        <v>39</v>
      </c>
      <c r="E150" s="68" t="s">
        <v>40</v>
      </c>
      <c r="F150" s="68" t="s">
        <v>1186</v>
      </c>
      <c r="G150" s="68" t="s">
        <v>1190</v>
      </c>
      <c r="H150" s="68"/>
      <c r="I150" s="68"/>
      <c r="J150" s="68" t="n">
        <v>26</v>
      </c>
      <c r="K150" s="68" t="n">
        <v>4.2</v>
      </c>
      <c r="L150" s="68" t="n">
        <v>2.2</v>
      </c>
      <c r="M150" s="68"/>
      <c r="N150" s="68"/>
    </row>
    <row r="151" customFormat="false" ht="14.25" hidden="false" customHeight="true" outlineLevel="0" collapsed="false">
      <c r="A151" s="68" t="s">
        <v>1184</v>
      </c>
      <c r="B151" s="68" t="n">
        <v>1718</v>
      </c>
      <c r="C151" s="68" t="s">
        <v>1307</v>
      </c>
      <c r="D151" s="68" t="s">
        <v>39</v>
      </c>
      <c r="E151" s="68" t="s">
        <v>40</v>
      </c>
      <c r="F151" s="68" t="s">
        <v>1251</v>
      </c>
      <c r="G151" s="68" t="s">
        <v>1196</v>
      </c>
      <c r="H151" s="68"/>
      <c r="I151" s="68"/>
      <c r="J151" s="68" t="n">
        <v>25</v>
      </c>
      <c r="K151" s="68"/>
      <c r="L151" s="68"/>
      <c r="M151" s="68" t="n">
        <v>3.8</v>
      </c>
      <c r="N151" s="68" t="n">
        <v>2.45</v>
      </c>
    </row>
    <row r="152" customFormat="false" ht="14.25" hidden="false" customHeight="true" outlineLevel="0" collapsed="false">
      <c r="A152" s="68" t="s">
        <v>1184</v>
      </c>
      <c r="B152" s="68" t="n">
        <v>1719</v>
      </c>
      <c r="C152" s="68" t="s">
        <v>1307</v>
      </c>
      <c r="D152" s="68" t="s">
        <v>39</v>
      </c>
      <c r="E152" s="68" t="s">
        <v>40</v>
      </c>
      <c r="F152" s="68" t="s">
        <v>1297</v>
      </c>
      <c r="G152" s="68" t="s">
        <v>1190</v>
      </c>
      <c r="H152" s="68"/>
      <c r="I152" s="68"/>
      <c r="J152" s="68" t="n">
        <v>64</v>
      </c>
      <c r="K152" s="68" t="n">
        <v>11.2</v>
      </c>
      <c r="L152" s="68" t="n">
        <v>2.3</v>
      </c>
      <c r="M152" s="68"/>
      <c r="N152" s="68"/>
    </row>
    <row r="153" customFormat="false" ht="14.25" hidden="false" customHeight="true" outlineLevel="0" collapsed="false">
      <c r="A153" s="68" t="s">
        <v>1184</v>
      </c>
      <c r="B153" s="68" t="n">
        <v>1720</v>
      </c>
      <c r="C153" s="68" t="s">
        <v>1307</v>
      </c>
      <c r="D153" s="68" t="s">
        <v>39</v>
      </c>
      <c r="E153" s="68" t="s">
        <v>40</v>
      </c>
      <c r="F153" s="68" t="s">
        <v>1219</v>
      </c>
      <c r="G153" s="68" t="s">
        <v>1196</v>
      </c>
      <c r="H153" s="68"/>
      <c r="I153" s="68"/>
      <c r="J153" s="68" t="n">
        <v>61</v>
      </c>
      <c r="K153" s="68"/>
      <c r="L153" s="68"/>
      <c r="M153" s="68" t="n">
        <v>3.4</v>
      </c>
      <c r="N153" s="68" t="n">
        <v>1.95</v>
      </c>
    </row>
    <row r="154" customFormat="false" ht="14.25" hidden="false" customHeight="true" outlineLevel="0" collapsed="false">
      <c r="A154" s="68" t="s">
        <v>1184</v>
      </c>
      <c r="B154" s="68" t="n">
        <v>1721</v>
      </c>
      <c r="C154" s="68" t="s">
        <v>1307</v>
      </c>
      <c r="D154" s="68" t="s">
        <v>39</v>
      </c>
      <c r="E154" s="68" t="s">
        <v>40</v>
      </c>
      <c r="F154" s="68" t="s">
        <v>1308</v>
      </c>
      <c r="G154" s="68" t="s">
        <v>1196</v>
      </c>
      <c r="H154" s="68"/>
      <c r="I154" s="68"/>
      <c r="J154" s="68" t="n">
        <v>96</v>
      </c>
      <c r="K154" s="68"/>
      <c r="L154" s="68"/>
      <c r="M154" s="68" t="n">
        <v>3.6</v>
      </c>
      <c r="N154" s="68" t="n">
        <v>2.99</v>
      </c>
    </row>
    <row r="155" customFormat="false" ht="14.25" hidden="false" customHeight="true" outlineLevel="0" collapsed="false">
      <c r="A155" s="68" t="s">
        <v>1184</v>
      </c>
      <c r="B155" s="68" t="n">
        <v>1722</v>
      </c>
      <c r="C155" s="68" t="s">
        <v>1307</v>
      </c>
      <c r="D155" s="68" t="s">
        <v>39</v>
      </c>
      <c r="E155" s="68" t="s">
        <v>40</v>
      </c>
      <c r="F155" s="68" t="s">
        <v>1191</v>
      </c>
      <c r="G155" s="68" t="s">
        <v>1196</v>
      </c>
      <c r="H155" s="68"/>
      <c r="I155" s="68"/>
      <c r="J155" s="68" t="n">
        <v>30</v>
      </c>
      <c r="K155" s="68"/>
      <c r="L155" s="68"/>
      <c r="M155" s="68" t="n">
        <v>4.1</v>
      </c>
      <c r="N155" s="68" t="n">
        <v>3.31</v>
      </c>
    </row>
    <row r="156" customFormat="false" ht="14.25" hidden="false" customHeight="true" outlineLevel="0" collapsed="false">
      <c r="A156" s="68" t="s">
        <v>1184</v>
      </c>
      <c r="B156" s="68" t="n">
        <v>1723</v>
      </c>
      <c r="C156" s="68" t="s">
        <v>1307</v>
      </c>
      <c r="D156" s="68" t="s">
        <v>39</v>
      </c>
      <c r="E156" s="68" t="s">
        <v>40</v>
      </c>
      <c r="F156" s="68" t="s">
        <v>1192</v>
      </c>
      <c r="G156" s="68" t="s">
        <v>1190</v>
      </c>
      <c r="H156" s="68"/>
      <c r="I156" s="68"/>
      <c r="J156" s="68" t="n">
        <v>70</v>
      </c>
      <c r="K156" s="68" t="n">
        <v>16</v>
      </c>
      <c r="L156" s="68" t="n">
        <v>0</v>
      </c>
      <c r="M156" s="68"/>
      <c r="N156" s="68"/>
    </row>
    <row r="157" customFormat="false" ht="14.25" hidden="false" customHeight="true" outlineLevel="0" collapsed="false">
      <c r="A157" s="68" t="s">
        <v>1184</v>
      </c>
      <c r="B157" s="68" t="n">
        <v>1724</v>
      </c>
      <c r="C157" s="68" t="s">
        <v>1307</v>
      </c>
      <c r="D157" s="68" t="s">
        <v>39</v>
      </c>
      <c r="E157" s="68" t="s">
        <v>40</v>
      </c>
      <c r="F157" s="68" t="s">
        <v>1255</v>
      </c>
      <c r="G157" s="68" t="s">
        <v>1196</v>
      </c>
      <c r="H157" s="68"/>
      <c r="I157" s="68"/>
      <c r="J157" s="68" t="n">
        <v>96</v>
      </c>
      <c r="K157" s="68"/>
      <c r="L157" s="68"/>
      <c r="M157" s="68" t="n">
        <v>4.2</v>
      </c>
      <c r="N157" s="68" t="n">
        <v>0.86</v>
      </c>
    </row>
    <row r="158" customFormat="false" ht="14.25" hidden="false" customHeight="true" outlineLevel="0" collapsed="false">
      <c r="A158" s="68" t="s">
        <v>1184</v>
      </c>
      <c r="B158" s="68" t="n">
        <v>1725</v>
      </c>
      <c r="C158" s="68" t="s">
        <v>1307</v>
      </c>
      <c r="D158" s="68" t="s">
        <v>39</v>
      </c>
      <c r="E158" s="68" t="s">
        <v>40</v>
      </c>
      <c r="F158" s="68" t="s">
        <v>1256</v>
      </c>
      <c r="G158" s="68" t="s">
        <v>1196</v>
      </c>
      <c r="H158" s="68"/>
      <c r="I158" s="68"/>
      <c r="J158" s="68" t="n">
        <v>59</v>
      </c>
      <c r="K158" s="68"/>
      <c r="L158" s="68"/>
      <c r="M158" s="68" t="n">
        <v>1.3</v>
      </c>
      <c r="N158" s="68" t="n">
        <v>2.09</v>
      </c>
    </row>
    <row r="159" customFormat="false" ht="14.25" hidden="false" customHeight="true" outlineLevel="0" collapsed="false">
      <c r="A159" s="68" t="s">
        <v>1184</v>
      </c>
      <c r="B159" s="68" t="n">
        <v>1726</v>
      </c>
      <c r="C159" s="68" t="s">
        <v>1307</v>
      </c>
      <c r="D159" s="68" t="s">
        <v>39</v>
      </c>
      <c r="E159" s="68" t="s">
        <v>40</v>
      </c>
      <c r="F159" s="68" t="s">
        <v>1309</v>
      </c>
      <c r="G159" s="68" t="s">
        <v>1187</v>
      </c>
      <c r="H159" s="68" t="n">
        <v>544</v>
      </c>
      <c r="I159" s="68" t="s">
        <v>1209</v>
      </c>
      <c r="J159" s="68" t="n">
        <v>57</v>
      </c>
      <c r="K159" s="68"/>
      <c r="L159" s="68"/>
      <c r="M159" s="68"/>
      <c r="N159" s="68"/>
    </row>
    <row r="160" customFormat="false" ht="14.25" hidden="false" customHeight="true" outlineLevel="0" collapsed="false">
      <c r="A160" s="68" t="s">
        <v>1184</v>
      </c>
      <c r="B160" s="68" t="n">
        <v>1727</v>
      </c>
      <c r="C160" s="68" t="s">
        <v>1307</v>
      </c>
      <c r="D160" s="68" t="s">
        <v>39</v>
      </c>
      <c r="E160" s="68" t="s">
        <v>40</v>
      </c>
      <c r="F160" s="68" t="s">
        <v>1310</v>
      </c>
      <c r="G160" s="68" t="s">
        <v>1190</v>
      </c>
      <c r="H160" s="68"/>
      <c r="I160" s="68"/>
      <c r="J160" s="68"/>
      <c r="K160" s="68" t="n">
        <v>17.7</v>
      </c>
      <c r="L160" s="68" t="n">
        <v>0</v>
      </c>
      <c r="M160" s="68"/>
      <c r="N160" s="68"/>
    </row>
    <row r="161" customFormat="false" ht="14.25" hidden="false" customHeight="true" outlineLevel="0" collapsed="false">
      <c r="A161" s="68" t="s">
        <v>1184</v>
      </c>
      <c r="B161" s="68" t="n">
        <v>1728</v>
      </c>
      <c r="C161" s="68" t="s">
        <v>1307</v>
      </c>
      <c r="D161" s="68" t="s">
        <v>39</v>
      </c>
      <c r="E161" s="68" t="s">
        <v>40</v>
      </c>
      <c r="F161" s="68" t="s">
        <v>1258</v>
      </c>
      <c r="G161" s="68" t="s">
        <v>1187</v>
      </c>
      <c r="H161" s="68" t="n">
        <v>719</v>
      </c>
      <c r="I161" s="68" t="s">
        <v>1194</v>
      </c>
      <c r="J161" s="68" t="n">
        <v>19</v>
      </c>
      <c r="K161" s="68"/>
      <c r="L161" s="68"/>
      <c r="M161" s="68"/>
      <c r="N161" s="68"/>
    </row>
    <row r="162" customFormat="false" ht="14.25" hidden="false" customHeight="true" outlineLevel="0" collapsed="false">
      <c r="A162" s="68" t="s">
        <v>1184</v>
      </c>
      <c r="B162" s="68" t="n">
        <v>1729</v>
      </c>
      <c r="C162" s="68" t="s">
        <v>1307</v>
      </c>
      <c r="D162" s="68" t="s">
        <v>39</v>
      </c>
      <c r="E162" s="68" t="s">
        <v>40</v>
      </c>
      <c r="F162" s="68" t="s">
        <v>1289</v>
      </c>
      <c r="G162" s="68" t="s">
        <v>1196</v>
      </c>
      <c r="H162" s="68"/>
      <c r="I162" s="68"/>
      <c r="J162" s="68" t="n">
        <v>87</v>
      </c>
      <c r="K162" s="68"/>
      <c r="L162" s="68"/>
      <c r="M162" s="68" t="n">
        <v>3.5</v>
      </c>
      <c r="N162" s="68" t="n">
        <v>3.3</v>
      </c>
    </row>
    <row r="163" customFormat="false" ht="14.25" hidden="false" customHeight="true" outlineLevel="0" collapsed="false">
      <c r="A163" s="68" t="s">
        <v>1184</v>
      </c>
      <c r="B163" s="68" t="n">
        <v>1730</v>
      </c>
      <c r="C163" s="68" t="s">
        <v>1307</v>
      </c>
      <c r="D163" s="68" t="s">
        <v>39</v>
      </c>
      <c r="E163" s="68" t="s">
        <v>40</v>
      </c>
      <c r="F163" s="68" t="s">
        <v>1311</v>
      </c>
      <c r="G163" s="68" t="s">
        <v>1196</v>
      </c>
      <c r="H163" s="68"/>
      <c r="I163" s="68"/>
      <c r="J163" s="68"/>
      <c r="K163" s="68"/>
      <c r="L163" s="68"/>
      <c r="M163" s="68" t="n">
        <v>3.2</v>
      </c>
      <c r="N163" s="68" t="n">
        <v>1.91</v>
      </c>
    </row>
    <row r="164" customFormat="false" ht="14.25" hidden="false" customHeight="true" outlineLevel="0" collapsed="false">
      <c r="A164" s="68" t="s">
        <v>1184</v>
      </c>
      <c r="B164" s="68" t="n">
        <v>1731</v>
      </c>
      <c r="C164" s="68" t="s">
        <v>1307</v>
      </c>
      <c r="D164" s="68" t="s">
        <v>39</v>
      </c>
      <c r="E164" s="68" t="s">
        <v>40</v>
      </c>
      <c r="F164" s="68" t="s">
        <v>1204</v>
      </c>
      <c r="G164" s="68" t="s">
        <v>1196</v>
      </c>
      <c r="H164" s="68"/>
      <c r="I164" s="68"/>
      <c r="J164" s="68" t="n">
        <v>91</v>
      </c>
      <c r="K164" s="68"/>
      <c r="L164" s="68"/>
      <c r="M164" s="68" t="n">
        <v>0.5</v>
      </c>
      <c r="N164" s="68" t="n">
        <v>3.52</v>
      </c>
    </row>
    <row r="165" customFormat="false" ht="14.25" hidden="false" customHeight="true" outlineLevel="0" collapsed="false">
      <c r="A165" s="68" t="s">
        <v>1184</v>
      </c>
      <c r="B165" s="68" t="n">
        <v>1732</v>
      </c>
      <c r="C165" s="68" t="s">
        <v>1307</v>
      </c>
      <c r="D165" s="68" t="s">
        <v>39</v>
      </c>
      <c r="E165" s="68" t="s">
        <v>40</v>
      </c>
      <c r="F165" s="68" t="s">
        <v>1205</v>
      </c>
      <c r="G165" s="68" t="s">
        <v>1196</v>
      </c>
      <c r="H165" s="68"/>
      <c r="I165" s="68"/>
      <c r="J165" s="68" t="n">
        <v>94</v>
      </c>
      <c r="K165" s="68"/>
      <c r="L165" s="68"/>
      <c r="M165" s="68" t="n">
        <v>1.7</v>
      </c>
      <c r="N165" s="68" t="n">
        <v>2.03</v>
      </c>
    </row>
    <row r="166" customFormat="false" ht="14.25" hidden="false" customHeight="true" outlineLevel="0" collapsed="false">
      <c r="A166" s="68" t="s">
        <v>1184</v>
      </c>
      <c r="B166" s="68" t="n">
        <v>1733</v>
      </c>
      <c r="C166" s="68" t="s">
        <v>1307</v>
      </c>
      <c r="D166" s="68" t="s">
        <v>39</v>
      </c>
      <c r="E166" s="68" t="s">
        <v>40</v>
      </c>
      <c r="F166" s="68" t="s">
        <v>1312</v>
      </c>
      <c r="G166" s="68" t="s">
        <v>1187</v>
      </c>
      <c r="H166" s="68" t="n">
        <v>770</v>
      </c>
      <c r="I166" s="68" t="s">
        <v>1194</v>
      </c>
      <c r="J166" s="68" t="n">
        <v>12</v>
      </c>
      <c r="K166" s="68"/>
      <c r="L166" s="68"/>
      <c r="M166" s="68"/>
      <c r="N166" s="68"/>
    </row>
    <row r="167" customFormat="false" ht="14.25" hidden="false" customHeight="true" outlineLevel="0" collapsed="false">
      <c r="A167" s="68" t="s">
        <v>1184</v>
      </c>
      <c r="B167" s="68" t="n">
        <v>1734</v>
      </c>
      <c r="C167" s="68" t="s">
        <v>1307</v>
      </c>
      <c r="D167" s="68" t="s">
        <v>39</v>
      </c>
      <c r="E167" s="68" t="s">
        <v>40</v>
      </c>
      <c r="F167" s="68" t="s">
        <v>1206</v>
      </c>
      <c r="G167" s="68" t="s">
        <v>1190</v>
      </c>
      <c r="H167" s="68"/>
      <c r="I167" s="68"/>
      <c r="J167" s="68" t="n">
        <v>13</v>
      </c>
      <c r="K167" s="68" t="n">
        <v>4.2</v>
      </c>
      <c r="L167" s="68" t="n">
        <v>8</v>
      </c>
      <c r="M167" s="68"/>
      <c r="N167" s="68"/>
    </row>
    <row r="168" customFormat="false" ht="14.25" hidden="false" customHeight="true" outlineLevel="0" collapsed="false">
      <c r="A168" s="68" t="s">
        <v>1184</v>
      </c>
      <c r="B168" s="68" t="n">
        <v>1735</v>
      </c>
      <c r="C168" s="68" t="s">
        <v>1307</v>
      </c>
      <c r="D168" s="68" t="s">
        <v>39</v>
      </c>
      <c r="E168" s="68" t="s">
        <v>40</v>
      </c>
      <c r="F168" s="68" t="s">
        <v>1313</v>
      </c>
      <c r="G168" s="68" t="s">
        <v>1187</v>
      </c>
      <c r="H168" s="68" t="n">
        <v>614</v>
      </c>
      <c r="I168" s="68" t="s">
        <v>1209</v>
      </c>
      <c r="J168" s="68" t="n">
        <v>67</v>
      </c>
      <c r="K168" s="68"/>
      <c r="L168" s="68"/>
      <c r="M168" s="68"/>
      <c r="N168" s="68"/>
    </row>
    <row r="169" customFormat="false" ht="14.25" hidden="false" customHeight="true" outlineLevel="0" collapsed="false">
      <c r="A169" s="68" t="s">
        <v>1184</v>
      </c>
      <c r="B169" s="68" t="n">
        <v>1736</v>
      </c>
      <c r="C169" s="68" t="s">
        <v>1307</v>
      </c>
      <c r="D169" s="68" t="s">
        <v>39</v>
      </c>
      <c r="E169" s="68" t="s">
        <v>40</v>
      </c>
      <c r="F169" s="68" t="s">
        <v>1314</v>
      </c>
      <c r="G169" s="68" t="s">
        <v>1190</v>
      </c>
      <c r="H169" s="68"/>
      <c r="I169" s="68"/>
      <c r="J169" s="68" t="n">
        <v>87</v>
      </c>
      <c r="K169" s="68" t="n">
        <v>16</v>
      </c>
      <c r="L169" s="68" t="n">
        <v>9.2</v>
      </c>
      <c r="M169" s="68"/>
      <c r="N169" s="68"/>
    </row>
    <row r="170" customFormat="false" ht="14.25" hidden="false" customHeight="true" outlineLevel="0" collapsed="false">
      <c r="A170" s="68" t="s">
        <v>1184</v>
      </c>
      <c r="B170" s="68" t="n">
        <v>1737</v>
      </c>
      <c r="C170" s="68" t="s">
        <v>1307</v>
      </c>
      <c r="D170" s="68" t="s">
        <v>39</v>
      </c>
      <c r="E170" s="68" t="s">
        <v>40</v>
      </c>
      <c r="F170" s="68" t="s">
        <v>1315</v>
      </c>
      <c r="G170" s="68" t="s">
        <v>1187</v>
      </c>
      <c r="H170" s="68" t="n">
        <v>747</v>
      </c>
      <c r="I170" s="68" t="s">
        <v>1188</v>
      </c>
      <c r="J170" s="68" t="n">
        <v>18</v>
      </c>
      <c r="K170" s="68"/>
      <c r="L170" s="68"/>
      <c r="M170" s="68"/>
      <c r="N170" s="68"/>
    </row>
    <row r="171" customFormat="false" ht="14.25" hidden="false" customHeight="true" outlineLevel="0" collapsed="false">
      <c r="A171" s="68" t="s">
        <v>1184</v>
      </c>
      <c r="B171" s="68" t="n">
        <v>1738</v>
      </c>
      <c r="C171" s="68" t="s">
        <v>1307</v>
      </c>
      <c r="D171" s="68" t="s">
        <v>39</v>
      </c>
      <c r="E171" s="68" t="s">
        <v>40</v>
      </c>
      <c r="F171" s="68" t="s">
        <v>1212</v>
      </c>
      <c r="G171" s="68" t="s">
        <v>1190</v>
      </c>
      <c r="H171" s="68"/>
      <c r="I171" s="68"/>
      <c r="J171" s="68"/>
      <c r="K171" s="68" t="n">
        <v>23.7</v>
      </c>
      <c r="L171" s="68" t="n">
        <v>0</v>
      </c>
      <c r="M171" s="68"/>
      <c r="N171" s="68"/>
    </row>
    <row r="172" customFormat="false" ht="14.25" hidden="false" customHeight="true" outlineLevel="0" collapsed="false">
      <c r="A172" s="68" t="s">
        <v>1184</v>
      </c>
      <c r="B172" s="68" t="n">
        <v>1739</v>
      </c>
      <c r="C172" s="68" t="s">
        <v>1307</v>
      </c>
      <c r="D172" s="68" t="s">
        <v>39</v>
      </c>
      <c r="E172" s="68" t="s">
        <v>40</v>
      </c>
      <c r="F172" s="68" t="s">
        <v>1268</v>
      </c>
      <c r="G172" s="68" t="s">
        <v>1187</v>
      </c>
      <c r="H172" s="68" t="n">
        <v>762</v>
      </c>
      <c r="I172" s="68" t="s">
        <v>1194</v>
      </c>
      <c r="J172" s="68" t="n">
        <v>52</v>
      </c>
      <c r="K172" s="68"/>
      <c r="L172" s="68"/>
      <c r="M172" s="68"/>
      <c r="N172" s="68"/>
    </row>
    <row r="173" customFormat="false" ht="14.25" hidden="false" customHeight="true" outlineLevel="0" collapsed="false">
      <c r="A173" s="68" t="s">
        <v>1184</v>
      </c>
      <c r="B173" s="68" t="n">
        <v>1740</v>
      </c>
      <c r="C173" s="68" t="s">
        <v>1307</v>
      </c>
      <c r="D173" s="68" t="s">
        <v>39</v>
      </c>
      <c r="E173" s="68" t="s">
        <v>40</v>
      </c>
      <c r="F173" s="68" t="s">
        <v>1213</v>
      </c>
      <c r="G173" s="68" t="s">
        <v>1196</v>
      </c>
      <c r="H173" s="68"/>
      <c r="I173" s="68"/>
      <c r="J173" s="68" t="n">
        <v>50</v>
      </c>
      <c r="K173" s="68"/>
      <c r="L173" s="68"/>
      <c r="M173" s="68" t="n">
        <v>0.7</v>
      </c>
      <c r="N173" s="68" t="n">
        <v>3.1</v>
      </c>
    </row>
    <row r="174" customFormat="false" ht="14.25" hidden="false" customHeight="true" outlineLevel="0" collapsed="false">
      <c r="A174" s="68" t="s">
        <v>1184</v>
      </c>
      <c r="B174" s="68" t="n">
        <v>1741</v>
      </c>
      <c r="C174" s="68" t="s">
        <v>1307</v>
      </c>
      <c r="D174" s="68" t="s">
        <v>39</v>
      </c>
      <c r="E174" s="68" t="s">
        <v>40</v>
      </c>
      <c r="F174" s="68" t="s">
        <v>1292</v>
      </c>
      <c r="G174" s="68" t="s">
        <v>1196</v>
      </c>
      <c r="H174" s="68"/>
      <c r="I174" s="68"/>
      <c r="J174" s="68" t="n">
        <v>64</v>
      </c>
      <c r="K174" s="68"/>
      <c r="L174" s="68"/>
      <c r="M174" s="68" t="n">
        <v>3.4</v>
      </c>
      <c r="N174" s="68" t="n">
        <v>3.69</v>
      </c>
    </row>
    <row r="175" customFormat="false" ht="14.25" hidden="false" customHeight="true" outlineLevel="0" collapsed="false">
      <c r="A175" s="68" t="s">
        <v>1184</v>
      </c>
      <c r="B175" s="68" t="n">
        <v>1742</v>
      </c>
      <c r="C175" s="68" t="s">
        <v>1307</v>
      </c>
      <c r="D175" s="68" t="s">
        <v>39</v>
      </c>
      <c r="E175" s="68" t="s">
        <v>40</v>
      </c>
      <c r="F175" s="68" t="s">
        <v>1215</v>
      </c>
      <c r="G175" s="68" t="s">
        <v>1187</v>
      </c>
      <c r="H175" s="68" t="n">
        <v>638</v>
      </c>
      <c r="I175" s="68" t="s">
        <v>1188</v>
      </c>
      <c r="J175" s="68"/>
      <c r="K175" s="68"/>
      <c r="L175" s="68"/>
      <c r="M175" s="68"/>
      <c r="N175" s="68"/>
    </row>
    <row r="176" customFormat="false" ht="14.25" hidden="false" customHeight="true" outlineLevel="0" collapsed="false">
      <c r="A176" s="68" t="s">
        <v>1184</v>
      </c>
      <c r="B176" s="68" t="n">
        <v>1743</v>
      </c>
      <c r="C176" s="68" t="s">
        <v>1307</v>
      </c>
      <c r="D176" s="68" t="s">
        <v>39</v>
      </c>
      <c r="E176" s="68" t="s">
        <v>40</v>
      </c>
      <c r="F176" s="68" t="s">
        <v>1316</v>
      </c>
      <c r="G176" s="68" t="s">
        <v>1190</v>
      </c>
      <c r="H176" s="68"/>
      <c r="I176" s="68"/>
      <c r="J176" s="68" t="n">
        <v>85</v>
      </c>
      <c r="K176" s="68" t="n">
        <v>-0.2</v>
      </c>
      <c r="L176" s="68" t="n">
        <v>6.3</v>
      </c>
      <c r="M176" s="68"/>
      <c r="N176" s="68"/>
    </row>
    <row r="177" customFormat="false" ht="14.25" hidden="false" customHeight="true" outlineLevel="0" collapsed="false">
      <c r="A177" s="68" t="s">
        <v>1184</v>
      </c>
      <c r="B177" s="68" t="n">
        <v>1744</v>
      </c>
      <c r="C177" s="68" t="s">
        <v>1307</v>
      </c>
      <c r="D177" s="68" t="s">
        <v>39</v>
      </c>
      <c r="E177" s="68" t="s">
        <v>40</v>
      </c>
      <c r="F177" s="68" t="s">
        <v>1317</v>
      </c>
      <c r="G177" s="68" t="s">
        <v>1196</v>
      </c>
      <c r="H177" s="68"/>
      <c r="I177" s="68"/>
      <c r="J177" s="68" t="n">
        <v>88</v>
      </c>
      <c r="K177" s="68"/>
      <c r="L177" s="68"/>
      <c r="M177" s="68" t="n">
        <v>1.1</v>
      </c>
      <c r="N177" s="68" t="n">
        <v>1.86</v>
      </c>
    </row>
    <row r="178" customFormat="false" ht="14.25" hidden="false" customHeight="true" outlineLevel="0" collapsed="false">
      <c r="A178" s="68" t="s">
        <v>1184</v>
      </c>
      <c r="B178" s="68" t="n">
        <v>1745</v>
      </c>
      <c r="C178" s="68" t="s">
        <v>1307</v>
      </c>
      <c r="D178" s="68" t="s">
        <v>39</v>
      </c>
      <c r="E178" s="68" t="s">
        <v>40</v>
      </c>
      <c r="F178" s="68" t="s">
        <v>1216</v>
      </c>
      <c r="G178" s="68" t="s">
        <v>1196</v>
      </c>
      <c r="H178" s="68"/>
      <c r="I178" s="68"/>
      <c r="J178" s="68" t="n">
        <v>21</v>
      </c>
      <c r="K178" s="68"/>
      <c r="L178" s="68"/>
      <c r="M178" s="68" t="n">
        <v>4.2</v>
      </c>
      <c r="N178" s="68" t="n">
        <v>3.4</v>
      </c>
    </row>
    <row r="179" customFormat="false" ht="14.25" hidden="false" customHeight="true" outlineLevel="0" collapsed="false">
      <c r="A179" s="68" t="s">
        <v>1184</v>
      </c>
      <c r="B179" s="68" t="n">
        <v>1746</v>
      </c>
      <c r="C179" s="68" t="s">
        <v>1307</v>
      </c>
      <c r="D179" s="68" t="s">
        <v>39</v>
      </c>
      <c r="E179" s="68" t="s">
        <v>40</v>
      </c>
      <c r="F179" s="68" t="s">
        <v>1294</v>
      </c>
      <c r="G179" s="68" t="s">
        <v>1196</v>
      </c>
      <c r="H179" s="68"/>
      <c r="I179" s="68"/>
      <c r="J179" s="68" t="n">
        <v>16</v>
      </c>
      <c r="K179" s="68"/>
      <c r="L179" s="68"/>
      <c r="M179" s="68" t="n">
        <v>3.2</v>
      </c>
      <c r="N179" s="68" t="n">
        <v>0.97</v>
      </c>
    </row>
    <row r="180" customFormat="false" ht="14.25" hidden="false" customHeight="true" outlineLevel="0" collapsed="false">
      <c r="A180" s="68" t="s">
        <v>1184</v>
      </c>
      <c r="B180" s="68" t="n">
        <v>1747</v>
      </c>
      <c r="C180" s="68" t="s">
        <v>1318</v>
      </c>
      <c r="D180" s="68" t="s">
        <v>35</v>
      </c>
      <c r="E180" s="68" t="s">
        <v>36</v>
      </c>
      <c r="F180" s="68" t="s">
        <v>1186</v>
      </c>
      <c r="G180" s="68" t="s">
        <v>1190</v>
      </c>
      <c r="H180" s="68"/>
      <c r="I180" s="68"/>
      <c r="J180" s="68" t="n">
        <v>44</v>
      </c>
      <c r="K180" s="68" t="n">
        <v>5.6</v>
      </c>
      <c r="L180" s="68" t="n">
        <v>0</v>
      </c>
      <c r="M180" s="68"/>
      <c r="N180" s="68"/>
    </row>
    <row r="181" customFormat="false" ht="14.25" hidden="false" customHeight="true" outlineLevel="0" collapsed="false">
      <c r="A181" s="68" t="s">
        <v>1184</v>
      </c>
      <c r="B181" s="68" t="n">
        <v>1748</v>
      </c>
      <c r="C181" s="68" t="s">
        <v>1318</v>
      </c>
      <c r="D181" s="68" t="s">
        <v>35</v>
      </c>
      <c r="E181" s="68" t="s">
        <v>36</v>
      </c>
      <c r="F181" s="68" t="s">
        <v>1219</v>
      </c>
      <c r="G181" s="68" t="s">
        <v>1187</v>
      </c>
      <c r="H181" s="68" t="n">
        <v>639</v>
      </c>
      <c r="I181" s="68" t="s">
        <v>1194</v>
      </c>
      <c r="J181" s="68"/>
      <c r="K181" s="68"/>
      <c r="L181" s="68"/>
      <c r="M181" s="68"/>
      <c r="N181" s="68"/>
    </row>
    <row r="182" customFormat="false" ht="14.25" hidden="false" customHeight="true" outlineLevel="0" collapsed="false">
      <c r="A182" s="68" t="s">
        <v>1184</v>
      </c>
      <c r="B182" s="68" t="n">
        <v>1749</v>
      </c>
      <c r="C182" s="68" t="s">
        <v>1318</v>
      </c>
      <c r="D182" s="68" t="s">
        <v>35</v>
      </c>
      <c r="E182" s="68" t="s">
        <v>36</v>
      </c>
      <c r="F182" s="68" t="s">
        <v>1220</v>
      </c>
      <c r="G182" s="68" t="s">
        <v>1196</v>
      </c>
      <c r="H182" s="68"/>
      <c r="I182" s="68"/>
      <c r="J182" s="68" t="n">
        <v>49</v>
      </c>
      <c r="K182" s="68"/>
      <c r="L182" s="68"/>
      <c r="M182" s="68" t="n">
        <v>4.2</v>
      </c>
      <c r="N182" s="68" t="n">
        <v>2.53</v>
      </c>
    </row>
    <row r="183" customFormat="false" ht="14.25" hidden="false" customHeight="true" outlineLevel="0" collapsed="false">
      <c r="A183" s="68" t="s">
        <v>1184</v>
      </c>
      <c r="B183" s="68" t="n">
        <v>1750</v>
      </c>
      <c r="C183" s="68" t="s">
        <v>1318</v>
      </c>
      <c r="D183" s="68" t="s">
        <v>35</v>
      </c>
      <c r="E183" s="68" t="s">
        <v>36</v>
      </c>
      <c r="F183" s="68" t="s">
        <v>1299</v>
      </c>
      <c r="G183" s="68" t="s">
        <v>1190</v>
      </c>
      <c r="H183" s="68"/>
      <c r="I183" s="68"/>
      <c r="J183" s="68" t="n">
        <v>80</v>
      </c>
      <c r="K183" s="68" t="n">
        <v>5.3</v>
      </c>
      <c r="L183" s="68" t="n">
        <v>10.2</v>
      </c>
      <c r="M183" s="68"/>
      <c r="N183" s="68"/>
    </row>
    <row r="184" customFormat="false" ht="14.25" hidden="false" customHeight="true" outlineLevel="0" collapsed="false">
      <c r="A184" s="68" t="s">
        <v>1184</v>
      </c>
      <c r="B184" s="68" t="n">
        <v>1751</v>
      </c>
      <c r="C184" s="68" t="s">
        <v>1318</v>
      </c>
      <c r="D184" s="68" t="s">
        <v>35</v>
      </c>
      <c r="E184" s="68" t="s">
        <v>36</v>
      </c>
      <c r="F184" s="68" t="s">
        <v>1286</v>
      </c>
      <c r="G184" s="68" t="s">
        <v>1187</v>
      </c>
      <c r="H184" s="68" t="n">
        <v>758</v>
      </c>
      <c r="I184" s="68" t="s">
        <v>1194</v>
      </c>
      <c r="J184" s="68"/>
      <c r="K184" s="68"/>
      <c r="L184" s="68"/>
      <c r="M184" s="68"/>
      <c r="N184" s="68"/>
    </row>
    <row r="185" customFormat="false" ht="14.25" hidden="false" customHeight="true" outlineLevel="0" collapsed="false">
      <c r="A185" s="68" t="s">
        <v>1184</v>
      </c>
      <c r="B185" s="68" t="n">
        <v>1752</v>
      </c>
      <c r="C185" s="68" t="s">
        <v>1318</v>
      </c>
      <c r="D185" s="68" t="s">
        <v>35</v>
      </c>
      <c r="E185" s="68" t="s">
        <v>36</v>
      </c>
      <c r="F185" s="68" t="s">
        <v>1319</v>
      </c>
      <c r="G185" s="68" t="s">
        <v>1196</v>
      </c>
      <c r="H185" s="68"/>
      <c r="I185" s="68"/>
      <c r="J185" s="68" t="n">
        <v>88</v>
      </c>
      <c r="K185" s="68"/>
      <c r="L185" s="68"/>
      <c r="M185" s="68" t="n">
        <v>2</v>
      </c>
      <c r="N185" s="68" t="n">
        <v>3.23</v>
      </c>
    </row>
    <row r="186" customFormat="false" ht="14.25" hidden="false" customHeight="true" outlineLevel="0" collapsed="false">
      <c r="A186" s="68" t="s">
        <v>1184</v>
      </c>
      <c r="B186" s="68" t="n">
        <v>1753</v>
      </c>
      <c r="C186" s="68" t="s">
        <v>1318</v>
      </c>
      <c r="D186" s="68" t="s">
        <v>35</v>
      </c>
      <c r="E186" s="68" t="s">
        <v>36</v>
      </c>
      <c r="F186" s="68" t="s">
        <v>1320</v>
      </c>
      <c r="G186" s="68" t="s">
        <v>1190</v>
      </c>
      <c r="H186" s="68"/>
      <c r="I186" s="68"/>
      <c r="J186" s="68" t="n">
        <v>81</v>
      </c>
      <c r="K186" s="68" t="n">
        <v>15.6</v>
      </c>
      <c r="L186" s="68" t="n">
        <v>7.9</v>
      </c>
      <c r="M186" s="68"/>
      <c r="N186" s="68"/>
    </row>
    <row r="187" customFormat="false" ht="14.25" hidden="false" customHeight="true" outlineLevel="0" collapsed="false">
      <c r="A187" s="68" t="s">
        <v>1184</v>
      </c>
      <c r="B187" s="68" t="n">
        <v>1754</v>
      </c>
      <c r="C187" s="68" t="s">
        <v>1318</v>
      </c>
      <c r="D187" s="68" t="s">
        <v>35</v>
      </c>
      <c r="E187" s="68" t="s">
        <v>36</v>
      </c>
      <c r="F187" s="68" t="s">
        <v>1223</v>
      </c>
      <c r="G187" s="68" t="s">
        <v>1196</v>
      </c>
      <c r="H187" s="68"/>
      <c r="I187" s="68"/>
      <c r="J187" s="68" t="n">
        <v>30</v>
      </c>
      <c r="K187" s="68"/>
      <c r="L187" s="68"/>
      <c r="M187" s="68" t="n">
        <v>1.5</v>
      </c>
      <c r="N187" s="68" t="n">
        <v>1.8</v>
      </c>
    </row>
    <row r="188" customFormat="false" ht="14.25" hidden="false" customHeight="true" outlineLevel="0" collapsed="false">
      <c r="A188" s="68" t="s">
        <v>1184</v>
      </c>
      <c r="B188" s="68" t="n">
        <v>1755</v>
      </c>
      <c r="C188" s="68" t="s">
        <v>1318</v>
      </c>
      <c r="D188" s="68" t="s">
        <v>35</v>
      </c>
      <c r="E188" s="68" t="s">
        <v>36</v>
      </c>
      <c r="F188" s="68" t="s">
        <v>1288</v>
      </c>
      <c r="G188" s="68" t="s">
        <v>1190</v>
      </c>
      <c r="H188" s="68"/>
      <c r="I188" s="68"/>
      <c r="J188" s="68" t="n">
        <v>41</v>
      </c>
      <c r="K188" s="68" t="n">
        <v>17.6</v>
      </c>
      <c r="L188" s="68" t="n">
        <v>0</v>
      </c>
      <c r="M188" s="68"/>
      <c r="N188" s="68"/>
    </row>
    <row r="189" customFormat="false" ht="14.25" hidden="false" customHeight="true" outlineLevel="0" collapsed="false">
      <c r="A189" s="68" t="s">
        <v>1184</v>
      </c>
      <c r="B189" s="68" t="n">
        <v>1756</v>
      </c>
      <c r="C189" s="68" t="s">
        <v>1318</v>
      </c>
      <c r="D189" s="68" t="s">
        <v>35</v>
      </c>
      <c r="E189" s="68" t="s">
        <v>36</v>
      </c>
      <c r="F189" s="68" t="s">
        <v>1321</v>
      </c>
      <c r="G189" s="68" t="s">
        <v>1196</v>
      </c>
      <c r="H189" s="68"/>
      <c r="I189" s="68"/>
      <c r="J189" s="68"/>
      <c r="K189" s="68"/>
      <c r="L189" s="68"/>
      <c r="M189" s="68" t="n">
        <v>0.9</v>
      </c>
      <c r="N189" s="68" t="n">
        <v>1.08</v>
      </c>
    </row>
    <row r="190" customFormat="false" ht="14.25" hidden="false" customHeight="true" outlineLevel="0" collapsed="false">
      <c r="A190" s="68" t="s">
        <v>1184</v>
      </c>
      <c r="B190" s="68" t="n">
        <v>1757</v>
      </c>
      <c r="C190" s="68" t="s">
        <v>1318</v>
      </c>
      <c r="D190" s="68" t="s">
        <v>35</v>
      </c>
      <c r="E190" s="68" t="s">
        <v>36</v>
      </c>
      <c r="F190" s="68" t="s">
        <v>1226</v>
      </c>
      <c r="G190" s="68" t="s">
        <v>1190</v>
      </c>
      <c r="H190" s="68"/>
      <c r="I190" s="68"/>
      <c r="J190" s="68" t="n">
        <v>15</v>
      </c>
      <c r="K190" s="68" t="n">
        <v>22.2</v>
      </c>
      <c r="L190" s="68" t="n">
        <v>9.5</v>
      </c>
      <c r="M190" s="68"/>
      <c r="N190" s="68"/>
    </row>
    <row r="191" customFormat="false" ht="14.25" hidden="false" customHeight="true" outlineLevel="0" collapsed="false">
      <c r="A191" s="68" t="s">
        <v>1184</v>
      </c>
      <c r="B191" s="68" t="n">
        <v>1758</v>
      </c>
      <c r="C191" s="68" t="s">
        <v>1318</v>
      </c>
      <c r="D191" s="68" t="s">
        <v>35</v>
      </c>
      <c r="E191" s="68" t="s">
        <v>36</v>
      </c>
      <c r="F191" s="68" t="s">
        <v>1200</v>
      </c>
      <c r="G191" s="68" t="s">
        <v>1190</v>
      </c>
      <c r="H191" s="68"/>
      <c r="I191" s="68"/>
      <c r="J191" s="68" t="n">
        <v>47</v>
      </c>
      <c r="K191" s="68" t="n">
        <v>22.8</v>
      </c>
      <c r="L191" s="68" t="n">
        <v>0</v>
      </c>
      <c r="M191" s="68"/>
      <c r="N191" s="68"/>
    </row>
    <row r="192" customFormat="false" ht="14.25" hidden="false" customHeight="true" outlineLevel="0" collapsed="false">
      <c r="A192" s="68" t="s">
        <v>1184</v>
      </c>
      <c r="B192" s="68" t="n">
        <v>1759</v>
      </c>
      <c r="C192" s="68" t="s">
        <v>1318</v>
      </c>
      <c r="D192" s="68" t="s">
        <v>35</v>
      </c>
      <c r="E192" s="68" t="s">
        <v>36</v>
      </c>
      <c r="F192" s="68" t="s">
        <v>1310</v>
      </c>
      <c r="G192" s="68" t="s">
        <v>1190</v>
      </c>
      <c r="H192" s="68"/>
      <c r="I192" s="68"/>
      <c r="J192" s="68" t="n">
        <v>44</v>
      </c>
      <c r="K192" s="68" t="n">
        <v>23</v>
      </c>
      <c r="L192" s="68" t="n">
        <v>0</v>
      </c>
      <c r="M192" s="68"/>
      <c r="N192" s="68"/>
    </row>
    <row r="193" customFormat="false" ht="14.25" hidden="false" customHeight="true" outlineLevel="0" collapsed="false">
      <c r="A193" s="68" t="s">
        <v>1184</v>
      </c>
      <c r="B193" s="68" t="n">
        <v>1760</v>
      </c>
      <c r="C193" s="68" t="s">
        <v>1318</v>
      </c>
      <c r="D193" s="68" t="s">
        <v>35</v>
      </c>
      <c r="E193" s="68" t="s">
        <v>36</v>
      </c>
      <c r="F193" s="68" t="s">
        <v>1262</v>
      </c>
      <c r="G193" s="68" t="s">
        <v>1187</v>
      </c>
      <c r="H193" s="68" t="n">
        <v>270</v>
      </c>
      <c r="I193" s="68" t="s">
        <v>1209</v>
      </c>
      <c r="J193" s="68" t="n">
        <v>56</v>
      </c>
      <c r="K193" s="68"/>
      <c r="L193" s="68"/>
      <c r="M193" s="68"/>
      <c r="N193" s="68"/>
    </row>
    <row r="194" customFormat="false" ht="14.25" hidden="false" customHeight="true" outlineLevel="0" collapsed="false">
      <c r="A194" s="68" t="s">
        <v>1184</v>
      </c>
      <c r="B194" s="68" t="n">
        <v>1761</v>
      </c>
      <c r="C194" s="68" t="s">
        <v>1318</v>
      </c>
      <c r="D194" s="68" t="s">
        <v>35</v>
      </c>
      <c r="E194" s="68" t="s">
        <v>36</v>
      </c>
      <c r="F194" s="68" t="s">
        <v>1322</v>
      </c>
      <c r="G194" s="68" t="s">
        <v>1190</v>
      </c>
      <c r="H194" s="68"/>
      <c r="I194" s="68"/>
      <c r="J194" s="68" t="n">
        <v>30</v>
      </c>
      <c r="K194" s="68" t="n">
        <v>12.2</v>
      </c>
      <c r="L194" s="68" t="n">
        <v>5.9</v>
      </c>
      <c r="M194" s="68"/>
      <c r="N194" s="68"/>
    </row>
    <row r="195" customFormat="false" ht="14.25" hidden="false" customHeight="true" outlineLevel="0" collapsed="false">
      <c r="A195" s="68" t="s">
        <v>1184</v>
      </c>
      <c r="B195" s="68" t="n">
        <v>1762</v>
      </c>
      <c r="C195" s="68" t="s">
        <v>1318</v>
      </c>
      <c r="D195" s="68" t="s">
        <v>35</v>
      </c>
      <c r="E195" s="68" t="s">
        <v>36</v>
      </c>
      <c r="F195" s="68" t="s">
        <v>1207</v>
      </c>
      <c r="G195" s="68" t="s">
        <v>1187</v>
      </c>
      <c r="H195" s="68" t="n">
        <v>531</v>
      </c>
      <c r="I195" s="68" t="s">
        <v>1188</v>
      </c>
      <c r="J195" s="68" t="n">
        <v>67</v>
      </c>
      <c r="K195" s="68"/>
      <c r="L195" s="68"/>
      <c r="M195" s="68"/>
      <c r="N195" s="68"/>
    </row>
    <row r="196" customFormat="false" ht="14.25" hidden="false" customHeight="true" outlineLevel="0" collapsed="false">
      <c r="A196" s="68" t="s">
        <v>1184</v>
      </c>
      <c r="B196" s="68" t="n">
        <v>1763</v>
      </c>
      <c r="C196" s="68" t="s">
        <v>1318</v>
      </c>
      <c r="D196" s="68" t="s">
        <v>35</v>
      </c>
      <c r="E196" s="68" t="s">
        <v>36</v>
      </c>
      <c r="F196" s="68" t="s">
        <v>1323</v>
      </c>
      <c r="G196" s="68" t="s">
        <v>1190</v>
      </c>
      <c r="H196" s="68"/>
      <c r="I196" s="68"/>
      <c r="J196" s="68" t="n">
        <v>9</v>
      </c>
      <c r="K196" s="68" t="n">
        <v>22.9</v>
      </c>
      <c r="L196" s="68" t="n">
        <v>10.5</v>
      </c>
      <c r="M196" s="68"/>
      <c r="N196" s="68"/>
    </row>
    <row r="197" customFormat="false" ht="14.25" hidden="false" customHeight="true" outlineLevel="0" collapsed="false">
      <c r="A197" s="68" t="s">
        <v>1184</v>
      </c>
      <c r="B197" s="68" t="n">
        <v>1764</v>
      </c>
      <c r="C197" s="68" t="s">
        <v>1318</v>
      </c>
      <c r="D197" s="68" t="s">
        <v>35</v>
      </c>
      <c r="E197" s="68" t="s">
        <v>36</v>
      </c>
      <c r="F197" s="68" t="s">
        <v>1241</v>
      </c>
      <c r="G197" s="68" t="s">
        <v>1187</v>
      </c>
      <c r="H197" s="68" t="n">
        <v>240</v>
      </c>
      <c r="I197" s="68" t="s">
        <v>1194</v>
      </c>
      <c r="J197" s="68"/>
      <c r="K197" s="68"/>
      <c r="L197" s="68"/>
      <c r="M197" s="68"/>
      <c r="N197" s="68"/>
    </row>
    <row r="198" customFormat="false" ht="14.25" hidden="false" customHeight="true" outlineLevel="0" collapsed="false">
      <c r="A198" s="68" t="s">
        <v>1184</v>
      </c>
      <c r="B198" s="68" t="n">
        <v>1765</v>
      </c>
      <c r="C198" s="68" t="s">
        <v>1318</v>
      </c>
      <c r="D198" s="68" t="s">
        <v>35</v>
      </c>
      <c r="E198" s="68" t="s">
        <v>36</v>
      </c>
      <c r="F198" s="68" t="s">
        <v>1324</v>
      </c>
      <c r="G198" s="68" t="s">
        <v>1190</v>
      </c>
      <c r="H198" s="68"/>
      <c r="I198" s="68"/>
      <c r="J198" s="68" t="n">
        <v>53</v>
      </c>
      <c r="K198" s="68" t="n">
        <v>0.8</v>
      </c>
      <c r="L198" s="68" t="n">
        <v>1.6</v>
      </c>
      <c r="M198" s="68"/>
      <c r="N198" s="68"/>
    </row>
    <row r="199" customFormat="false" ht="14.25" hidden="false" customHeight="true" outlineLevel="0" collapsed="false">
      <c r="A199" s="68" t="s">
        <v>1184</v>
      </c>
      <c r="B199" s="68" t="n">
        <v>1766</v>
      </c>
      <c r="C199" s="68" t="s">
        <v>1318</v>
      </c>
      <c r="D199" s="68" t="s">
        <v>35</v>
      </c>
      <c r="E199" s="68" t="s">
        <v>36</v>
      </c>
      <c r="F199" s="68" t="s">
        <v>1242</v>
      </c>
      <c r="G199" s="68" t="s">
        <v>1187</v>
      </c>
      <c r="H199" s="68" t="n">
        <v>78</v>
      </c>
      <c r="I199" s="68" t="s">
        <v>1188</v>
      </c>
      <c r="J199" s="68"/>
      <c r="K199" s="68"/>
      <c r="L199" s="68"/>
      <c r="M199" s="68"/>
      <c r="N199" s="68"/>
    </row>
    <row r="200" customFormat="false" ht="14.25" hidden="false" customHeight="true" outlineLevel="0" collapsed="false">
      <c r="A200" s="68" t="s">
        <v>1184</v>
      </c>
      <c r="B200" s="68" t="n">
        <v>1767</v>
      </c>
      <c r="C200" s="68" t="s">
        <v>1318</v>
      </c>
      <c r="D200" s="68" t="s">
        <v>35</v>
      </c>
      <c r="E200" s="68" t="s">
        <v>36</v>
      </c>
      <c r="F200" s="68" t="s">
        <v>1325</v>
      </c>
      <c r="G200" s="68" t="s">
        <v>1187</v>
      </c>
      <c r="H200" s="68" t="n">
        <v>527</v>
      </c>
      <c r="I200" s="68" t="s">
        <v>1194</v>
      </c>
      <c r="J200" s="68" t="n">
        <v>71</v>
      </c>
      <c r="K200" s="68"/>
      <c r="L200" s="68"/>
      <c r="M200" s="68"/>
      <c r="N200" s="68"/>
    </row>
    <row r="201" customFormat="false" ht="14.25" hidden="false" customHeight="true" outlineLevel="0" collapsed="false">
      <c r="A201" s="68" t="s">
        <v>1184</v>
      </c>
      <c r="B201" s="68" t="n">
        <v>1768</v>
      </c>
      <c r="C201" s="68" t="s">
        <v>1326</v>
      </c>
      <c r="D201" s="68" t="s">
        <v>53</v>
      </c>
      <c r="E201" s="68" t="s">
        <v>54</v>
      </c>
      <c r="F201" s="68" t="s">
        <v>1189</v>
      </c>
      <c r="G201" s="68" t="s">
        <v>1196</v>
      </c>
      <c r="H201" s="68"/>
      <c r="I201" s="68"/>
      <c r="J201" s="68" t="n">
        <v>51</v>
      </c>
      <c r="K201" s="68"/>
      <c r="L201" s="68"/>
      <c r="M201" s="68" t="n">
        <v>3.3</v>
      </c>
      <c r="N201" s="68" t="n">
        <v>1.42</v>
      </c>
    </row>
    <row r="202" customFormat="false" ht="14.25" hidden="false" customHeight="true" outlineLevel="0" collapsed="false">
      <c r="A202" s="68" t="s">
        <v>1184</v>
      </c>
      <c r="B202" s="68" t="n">
        <v>1769</v>
      </c>
      <c r="C202" s="68" t="s">
        <v>1326</v>
      </c>
      <c r="D202" s="68" t="s">
        <v>53</v>
      </c>
      <c r="E202" s="68" t="s">
        <v>54</v>
      </c>
      <c r="F202" s="68" t="s">
        <v>1219</v>
      </c>
      <c r="G202" s="68" t="s">
        <v>1196</v>
      </c>
      <c r="H202" s="68"/>
      <c r="I202" s="68"/>
      <c r="J202" s="68" t="n">
        <v>20</v>
      </c>
      <c r="K202" s="68"/>
      <c r="L202" s="68"/>
      <c r="M202" s="68" t="n">
        <v>0.8</v>
      </c>
      <c r="N202" s="68" t="n">
        <v>2.75</v>
      </c>
    </row>
    <row r="203" customFormat="false" ht="14.25" hidden="false" customHeight="true" outlineLevel="0" collapsed="false">
      <c r="A203" s="68" t="s">
        <v>1184</v>
      </c>
      <c r="B203" s="68" t="n">
        <v>1770</v>
      </c>
      <c r="C203" s="68" t="s">
        <v>1326</v>
      </c>
      <c r="D203" s="68" t="s">
        <v>53</v>
      </c>
      <c r="E203" s="68" t="s">
        <v>54</v>
      </c>
      <c r="F203" s="68" t="s">
        <v>1327</v>
      </c>
      <c r="G203" s="68" t="s">
        <v>1196</v>
      </c>
      <c r="H203" s="68"/>
      <c r="I203" s="68"/>
      <c r="J203" s="68" t="n">
        <v>54</v>
      </c>
      <c r="K203" s="68"/>
      <c r="L203" s="68"/>
      <c r="M203" s="68" t="n">
        <v>3.5</v>
      </c>
      <c r="N203" s="68" t="n">
        <v>3.42</v>
      </c>
    </row>
    <row r="204" customFormat="false" ht="14.25" hidden="false" customHeight="true" outlineLevel="0" collapsed="false">
      <c r="A204" s="68" t="s">
        <v>1184</v>
      </c>
      <c r="B204" s="68" t="n">
        <v>1771</v>
      </c>
      <c r="C204" s="68" t="s">
        <v>1326</v>
      </c>
      <c r="D204" s="68" t="s">
        <v>53</v>
      </c>
      <c r="E204" s="68" t="s">
        <v>54</v>
      </c>
      <c r="F204" s="68" t="s">
        <v>1300</v>
      </c>
      <c r="G204" s="68" t="s">
        <v>1190</v>
      </c>
      <c r="H204" s="68"/>
      <c r="I204" s="68"/>
      <c r="J204" s="68" t="n">
        <v>18</v>
      </c>
      <c r="K204" s="68" t="n">
        <v>17.5</v>
      </c>
      <c r="L204" s="68" t="n">
        <v>7.6</v>
      </c>
      <c r="M204" s="68"/>
      <c r="N204" s="68"/>
    </row>
    <row r="205" customFormat="false" ht="14.25" hidden="false" customHeight="true" outlineLevel="0" collapsed="false">
      <c r="A205" s="68" t="s">
        <v>1184</v>
      </c>
      <c r="B205" s="68" t="n">
        <v>1772</v>
      </c>
      <c r="C205" s="68" t="s">
        <v>1326</v>
      </c>
      <c r="D205" s="68" t="s">
        <v>53</v>
      </c>
      <c r="E205" s="68" t="s">
        <v>54</v>
      </c>
      <c r="F205" s="68" t="s">
        <v>1197</v>
      </c>
      <c r="G205" s="68" t="s">
        <v>1196</v>
      </c>
      <c r="H205" s="68"/>
      <c r="I205" s="68"/>
      <c r="J205" s="68" t="n">
        <v>68</v>
      </c>
      <c r="K205" s="68"/>
      <c r="L205" s="68"/>
      <c r="M205" s="68" t="n">
        <v>1.4</v>
      </c>
      <c r="N205" s="68" t="n">
        <v>0.62</v>
      </c>
    </row>
    <row r="206" customFormat="false" ht="14.25" hidden="false" customHeight="true" outlineLevel="0" collapsed="false">
      <c r="A206" s="68" t="s">
        <v>1184</v>
      </c>
      <c r="B206" s="68" t="n">
        <v>1773</v>
      </c>
      <c r="C206" s="68" t="s">
        <v>1326</v>
      </c>
      <c r="D206" s="68" t="s">
        <v>53</v>
      </c>
      <c r="E206" s="68" t="s">
        <v>54</v>
      </c>
      <c r="F206" s="68" t="s">
        <v>1319</v>
      </c>
      <c r="G206" s="68" t="s">
        <v>1190</v>
      </c>
      <c r="H206" s="68"/>
      <c r="I206" s="68"/>
      <c r="J206" s="68" t="n">
        <v>49</v>
      </c>
      <c r="K206" s="68" t="n">
        <v>-2.9</v>
      </c>
      <c r="L206" s="68" t="n">
        <v>0</v>
      </c>
      <c r="M206" s="68"/>
      <c r="N206" s="68"/>
    </row>
    <row r="207" customFormat="false" ht="14.25" hidden="false" customHeight="true" outlineLevel="0" collapsed="false">
      <c r="A207" s="68" t="s">
        <v>1184</v>
      </c>
      <c r="B207" s="68" t="n">
        <v>1774</v>
      </c>
      <c r="C207" s="68" t="s">
        <v>1326</v>
      </c>
      <c r="D207" s="68" t="s">
        <v>53</v>
      </c>
      <c r="E207" s="68" t="s">
        <v>54</v>
      </c>
      <c r="F207" s="68" t="s">
        <v>1256</v>
      </c>
      <c r="G207" s="68" t="s">
        <v>1190</v>
      </c>
      <c r="H207" s="68"/>
      <c r="I207" s="68"/>
      <c r="J207" s="68" t="n">
        <v>58</v>
      </c>
      <c r="K207" s="68" t="n">
        <v>11.4</v>
      </c>
      <c r="L207" s="68" t="n">
        <v>0</v>
      </c>
      <c r="M207" s="68"/>
      <c r="N207" s="68"/>
    </row>
    <row r="208" customFormat="false" ht="14.25" hidden="false" customHeight="true" outlineLevel="0" collapsed="false">
      <c r="A208" s="68" t="s">
        <v>1184</v>
      </c>
      <c r="B208" s="68" t="n">
        <v>1775</v>
      </c>
      <c r="C208" s="68" t="s">
        <v>1326</v>
      </c>
      <c r="D208" s="68" t="s">
        <v>53</v>
      </c>
      <c r="E208" s="68" t="s">
        <v>54</v>
      </c>
      <c r="F208" s="68" t="s">
        <v>1328</v>
      </c>
      <c r="G208" s="68" t="s">
        <v>1187</v>
      </c>
      <c r="H208" s="68" t="n">
        <v>364</v>
      </c>
      <c r="I208" s="68" t="s">
        <v>1188</v>
      </c>
      <c r="J208" s="68" t="n">
        <v>77</v>
      </c>
      <c r="K208" s="68"/>
      <c r="L208" s="68"/>
      <c r="M208" s="68"/>
      <c r="N208" s="68"/>
    </row>
    <row r="209" customFormat="false" ht="14.25" hidden="false" customHeight="true" outlineLevel="0" collapsed="false">
      <c r="A209" s="68" t="s">
        <v>1184</v>
      </c>
      <c r="B209" s="68" t="n">
        <v>1776</v>
      </c>
      <c r="C209" s="68" t="s">
        <v>1326</v>
      </c>
      <c r="D209" s="68" t="s">
        <v>53</v>
      </c>
      <c r="E209" s="68" t="s">
        <v>54</v>
      </c>
      <c r="F209" s="68" t="s">
        <v>1310</v>
      </c>
      <c r="G209" s="68" t="s">
        <v>1187</v>
      </c>
      <c r="H209" s="68" t="n">
        <v>218</v>
      </c>
      <c r="I209" s="68" t="s">
        <v>1194</v>
      </c>
      <c r="J209" s="68"/>
      <c r="K209" s="68"/>
      <c r="L209" s="68"/>
      <c r="M209" s="68"/>
      <c r="N209" s="68"/>
    </row>
    <row r="210" customFormat="false" ht="14.25" hidden="false" customHeight="true" outlineLevel="0" collapsed="false">
      <c r="A210" s="68" t="s">
        <v>1184</v>
      </c>
      <c r="B210" s="68" t="n">
        <v>1777</v>
      </c>
      <c r="C210" s="68" t="s">
        <v>1326</v>
      </c>
      <c r="D210" s="68" t="s">
        <v>53</v>
      </c>
      <c r="E210" s="68" t="s">
        <v>54</v>
      </c>
      <c r="F210" s="68" t="s">
        <v>1227</v>
      </c>
      <c r="G210" s="68" t="s">
        <v>1196</v>
      </c>
      <c r="H210" s="68"/>
      <c r="I210" s="68"/>
      <c r="J210" s="68" t="n">
        <v>23</v>
      </c>
      <c r="K210" s="68"/>
      <c r="L210" s="68"/>
      <c r="M210" s="68" t="n">
        <v>1.1</v>
      </c>
      <c r="N210" s="68" t="n">
        <v>3.34</v>
      </c>
    </row>
    <row r="211" customFormat="false" ht="14.25" hidden="false" customHeight="true" outlineLevel="0" collapsed="false">
      <c r="A211" s="68" t="s">
        <v>1184</v>
      </c>
      <c r="B211" s="68" t="n">
        <v>1778</v>
      </c>
      <c r="C211" s="68" t="s">
        <v>1326</v>
      </c>
      <c r="D211" s="68" t="s">
        <v>53</v>
      </c>
      <c r="E211" s="68" t="s">
        <v>54</v>
      </c>
      <c r="F211" s="68" t="s">
        <v>1258</v>
      </c>
      <c r="G211" s="68" t="s">
        <v>1190</v>
      </c>
      <c r="H211" s="68"/>
      <c r="I211" s="68"/>
      <c r="J211" s="68" t="n">
        <v>86</v>
      </c>
      <c r="K211" s="68" t="n">
        <v>11.6</v>
      </c>
      <c r="L211" s="68" t="n">
        <v>2.9</v>
      </c>
      <c r="M211" s="68"/>
      <c r="N211" s="68"/>
    </row>
    <row r="212" customFormat="false" ht="14.25" hidden="false" customHeight="true" outlineLevel="0" collapsed="false">
      <c r="A212" s="68" t="s">
        <v>1184</v>
      </c>
      <c r="B212" s="68" t="n">
        <v>1779</v>
      </c>
      <c r="C212" s="68" t="s">
        <v>1326</v>
      </c>
      <c r="D212" s="68" t="s">
        <v>53</v>
      </c>
      <c r="E212" s="68" t="s">
        <v>54</v>
      </c>
      <c r="F212" s="68" t="s">
        <v>1201</v>
      </c>
      <c r="G212" s="68" t="s">
        <v>1190</v>
      </c>
      <c r="H212" s="68"/>
      <c r="I212" s="68"/>
      <c r="J212" s="68" t="n">
        <v>79</v>
      </c>
      <c r="K212" s="68" t="n">
        <v>9.1</v>
      </c>
      <c r="L212" s="68" t="n">
        <v>1.9</v>
      </c>
      <c r="M212" s="68"/>
      <c r="N212" s="68"/>
    </row>
    <row r="213" customFormat="false" ht="14.25" hidden="false" customHeight="true" outlineLevel="0" collapsed="false">
      <c r="A213" s="68" t="s">
        <v>1184</v>
      </c>
      <c r="B213" s="68" t="n">
        <v>1780</v>
      </c>
      <c r="C213" s="68" t="s">
        <v>1326</v>
      </c>
      <c r="D213" s="68" t="s">
        <v>53</v>
      </c>
      <c r="E213" s="68" t="s">
        <v>54</v>
      </c>
      <c r="F213" s="68" t="s">
        <v>1261</v>
      </c>
      <c r="G213" s="68" t="s">
        <v>1190</v>
      </c>
      <c r="H213" s="68"/>
      <c r="I213" s="68"/>
      <c r="J213" s="68" t="n">
        <v>14</v>
      </c>
      <c r="K213" s="68" t="n">
        <v>15</v>
      </c>
      <c r="L213" s="68" t="n">
        <v>0</v>
      </c>
      <c r="M213" s="68"/>
      <c r="N213" s="68"/>
    </row>
    <row r="214" customFormat="false" ht="14.25" hidden="false" customHeight="true" outlineLevel="0" collapsed="false">
      <c r="A214" s="68" t="s">
        <v>1184</v>
      </c>
      <c r="B214" s="68" t="n">
        <v>1781</v>
      </c>
      <c r="C214" s="68" t="s">
        <v>1326</v>
      </c>
      <c r="D214" s="68" t="s">
        <v>53</v>
      </c>
      <c r="E214" s="68" t="s">
        <v>54</v>
      </c>
      <c r="F214" s="68" t="s">
        <v>1329</v>
      </c>
      <c r="G214" s="68" t="s">
        <v>1187</v>
      </c>
      <c r="H214" s="68" t="n">
        <v>584</v>
      </c>
      <c r="I214" s="68" t="s">
        <v>1209</v>
      </c>
      <c r="J214" s="68" t="n">
        <v>8</v>
      </c>
      <c r="K214" s="68"/>
      <c r="L214" s="68"/>
      <c r="M214" s="68"/>
      <c r="N214" s="68"/>
    </row>
    <row r="215" customFormat="false" ht="14.25" hidden="false" customHeight="true" outlineLevel="0" collapsed="false">
      <c r="A215" s="68" t="s">
        <v>1184</v>
      </c>
      <c r="B215" s="68" t="n">
        <v>1782</v>
      </c>
      <c r="C215" s="68" t="s">
        <v>1326</v>
      </c>
      <c r="D215" s="68" t="s">
        <v>53</v>
      </c>
      <c r="E215" s="68" t="s">
        <v>54</v>
      </c>
      <c r="F215" s="68" t="s">
        <v>1263</v>
      </c>
      <c r="G215" s="68" t="s">
        <v>1196</v>
      </c>
      <c r="H215" s="68"/>
      <c r="I215" s="68"/>
      <c r="J215" s="68"/>
      <c r="K215" s="68"/>
      <c r="L215" s="68"/>
      <c r="M215" s="68" t="n">
        <v>1.7</v>
      </c>
      <c r="N215" s="68" t="n">
        <v>2.21</v>
      </c>
    </row>
    <row r="216" customFormat="false" ht="14.25" hidden="false" customHeight="true" outlineLevel="0" collapsed="false">
      <c r="A216" s="68" t="s">
        <v>1184</v>
      </c>
      <c r="B216" s="68" t="n">
        <v>1783</v>
      </c>
      <c r="C216" s="68" t="s">
        <v>1326</v>
      </c>
      <c r="D216" s="68" t="s">
        <v>53</v>
      </c>
      <c r="E216" s="68" t="s">
        <v>54</v>
      </c>
      <c r="F216" s="68" t="s">
        <v>1231</v>
      </c>
      <c r="G216" s="68" t="s">
        <v>1190</v>
      </c>
      <c r="H216" s="68"/>
      <c r="I216" s="68"/>
      <c r="J216" s="68" t="n">
        <v>16</v>
      </c>
      <c r="K216" s="68" t="n">
        <v>7</v>
      </c>
      <c r="L216" s="68" t="n">
        <v>0</v>
      </c>
      <c r="M216" s="68"/>
      <c r="N216" s="68"/>
    </row>
    <row r="217" customFormat="false" ht="14.25" hidden="false" customHeight="true" outlineLevel="0" collapsed="false">
      <c r="A217" s="68" t="s">
        <v>1184</v>
      </c>
      <c r="B217" s="68" t="n">
        <v>1784</v>
      </c>
      <c r="C217" s="68" t="s">
        <v>1326</v>
      </c>
      <c r="D217" s="68" t="s">
        <v>53</v>
      </c>
      <c r="E217" s="68" t="s">
        <v>54</v>
      </c>
      <c r="F217" s="68" t="s">
        <v>1322</v>
      </c>
      <c r="G217" s="68" t="s">
        <v>1196</v>
      </c>
      <c r="H217" s="68"/>
      <c r="I217" s="68"/>
      <c r="J217" s="68" t="n">
        <v>47</v>
      </c>
      <c r="K217" s="68"/>
      <c r="L217" s="68"/>
      <c r="M217" s="68" t="n">
        <v>4.5</v>
      </c>
      <c r="N217" s="68" t="n">
        <v>0.35</v>
      </c>
    </row>
    <row r="218" customFormat="false" ht="14.25" hidden="false" customHeight="true" outlineLevel="0" collapsed="false">
      <c r="A218" s="68" t="s">
        <v>1184</v>
      </c>
      <c r="B218" s="68" t="n">
        <v>1785</v>
      </c>
      <c r="C218" s="68" t="s">
        <v>1326</v>
      </c>
      <c r="D218" s="68" t="s">
        <v>53</v>
      </c>
      <c r="E218" s="68" t="s">
        <v>54</v>
      </c>
      <c r="F218" s="68" t="s">
        <v>1204</v>
      </c>
      <c r="G218" s="68" t="s">
        <v>1196</v>
      </c>
      <c r="H218" s="68"/>
      <c r="I218" s="68"/>
      <c r="J218" s="68" t="n">
        <v>74</v>
      </c>
      <c r="K218" s="68"/>
      <c r="L218" s="68"/>
      <c r="M218" s="68" t="n">
        <v>0.7</v>
      </c>
      <c r="N218" s="68" t="n">
        <v>1.27</v>
      </c>
    </row>
    <row r="219" customFormat="false" ht="14.25" hidden="false" customHeight="true" outlineLevel="0" collapsed="false">
      <c r="A219" s="68" t="s">
        <v>1184</v>
      </c>
      <c r="B219" s="68" t="n">
        <v>1786</v>
      </c>
      <c r="C219" s="68" t="s">
        <v>1326</v>
      </c>
      <c r="D219" s="68" t="s">
        <v>53</v>
      </c>
      <c r="E219" s="68" t="s">
        <v>54</v>
      </c>
      <c r="F219" s="68" t="s">
        <v>1290</v>
      </c>
      <c r="G219" s="68" t="s">
        <v>1196</v>
      </c>
      <c r="H219" s="68"/>
      <c r="I219" s="68"/>
      <c r="J219" s="68" t="n">
        <v>70</v>
      </c>
      <c r="K219" s="68"/>
      <c r="L219" s="68"/>
      <c r="M219" s="68" t="n">
        <v>1.3</v>
      </c>
      <c r="N219" s="68" t="n">
        <v>2.4</v>
      </c>
    </row>
    <row r="220" customFormat="false" ht="14.25" hidden="false" customHeight="true" outlineLevel="0" collapsed="false">
      <c r="A220" s="68" t="s">
        <v>1184</v>
      </c>
      <c r="B220" s="68" t="n">
        <v>1787</v>
      </c>
      <c r="C220" s="68" t="s">
        <v>1326</v>
      </c>
      <c r="D220" s="68" t="s">
        <v>53</v>
      </c>
      <c r="E220" s="68" t="s">
        <v>54</v>
      </c>
      <c r="F220" s="68" t="s">
        <v>1302</v>
      </c>
      <c r="G220" s="68" t="s">
        <v>1190</v>
      </c>
      <c r="H220" s="68"/>
      <c r="I220" s="68"/>
      <c r="J220" s="68" t="n">
        <v>8</v>
      </c>
      <c r="K220" s="68" t="n">
        <v>13.8</v>
      </c>
      <c r="L220" s="68" t="n">
        <v>0</v>
      </c>
      <c r="M220" s="68"/>
      <c r="N220" s="68"/>
    </row>
    <row r="221" customFormat="false" ht="14.25" hidden="false" customHeight="true" outlineLevel="0" collapsed="false">
      <c r="A221" s="68" t="s">
        <v>1184</v>
      </c>
      <c r="B221" s="68" t="n">
        <v>1788</v>
      </c>
      <c r="C221" s="68" t="s">
        <v>1326</v>
      </c>
      <c r="D221" s="68" t="s">
        <v>53</v>
      </c>
      <c r="E221" s="68" t="s">
        <v>54</v>
      </c>
      <c r="F221" s="68" t="s">
        <v>1236</v>
      </c>
      <c r="G221" s="68" t="s">
        <v>1190</v>
      </c>
      <c r="H221" s="68"/>
      <c r="I221" s="68"/>
      <c r="J221" s="68" t="n">
        <v>26</v>
      </c>
      <c r="K221" s="68" t="n">
        <v>20</v>
      </c>
      <c r="L221" s="68" t="n">
        <v>11.3</v>
      </c>
      <c r="M221" s="68"/>
      <c r="N221" s="68"/>
    </row>
    <row r="222" customFormat="false" ht="14.25" hidden="false" customHeight="true" outlineLevel="0" collapsed="false">
      <c r="A222" s="68" t="s">
        <v>1184</v>
      </c>
      <c r="B222" s="68" t="n">
        <v>1789</v>
      </c>
      <c r="C222" s="68" t="s">
        <v>1326</v>
      </c>
      <c r="D222" s="68" t="s">
        <v>53</v>
      </c>
      <c r="E222" s="68" t="s">
        <v>54</v>
      </c>
      <c r="F222" s="68" t="s">
        <v>1206</v>
      </c>
      <c r="G222" s="68" t="s">
        <v>1196</v>
      </c>
      <c r="H222" s="68"/>
      <c r="I222" s="68"/>
      <c r="J222" s="68" t="n">
        <v>48</v>
      </c>
      <c r="K222" s="68"/>
      <c r="L222" s="68"/>
      <c r="M222" s="68" t="n">
        <v>2.3</v>
      </c>
      <c r="N222" s="68" t="n">
        <v>3.29</v>
      </c>
    </row>
    <row r="223" customFormat="false" ht="14.25" hidden="false" customHeight="true" outlineLevel="0" collapsed="false">
      <c r="A223" s="68" t="s">
        <v>1184</v>
      </c>
      <c r="B223" s="68" t="n">
        <v>1790</v>
      </c>
      <c r="C223" s="68" t="s">
        <v>1326</v>
      </c>
      <c r="D223" s="68" t="s">
        <v>53</v>
      </c>
      <c r="E223" s="68" t="s">
        <v>54</v>
      </c>
      <c r="F223" s="68" t="s">
        <v>1211</v>
      </c>
      <c r="G223" s="68" t="s">
        <v>1196</v>
      </c>
      <c r="H223" s="68"/>
      <c r="I223" s="68"/>
      <c r="J223" s="68" t="n">
        <v>43</v>
      </c>
      <c r="K223" s="68"/>
      <c r="L223" s="68"/>
      <c r="M223" s="68" t="n">
        <v>1.1</v>
      </c>
      <c r="N223" s="68" t="n">
        <v>2.66</v>
      </c>
    </row>
    <row r="224" customFormat="false" ht="14.25" hidden="false" customHeight="true" outlineLevel="0" collapsed="false">
      <c r="A224" s="68" t="s">
        <v>1184</v>
      </c>
      <c r="B224" s="68" t="n">
        <v>1791</v>
      </c>
      <c r="C224" s="68" t="s">
        <v>1326</v>
      </c>
      <c r="D224" s="68" t="s">
        <v>53</v>
      </c>
      <c r="E224" s="68" t="s">
        <v>54</v>
      </c>
      <c r="F224" s="68" t="s">
        <v>1315</v>
      </c>
      <c r="G224" s="68" t="s">
        <v>1187</v>
      </c>
      <c r="H224" s="68" t="n">
        <v>595</v>
      </c>
      <c r="I224" s="68" t="s">
        <v>1194</v>
      </c>
      <c r="J224" s="68" t="n">
        <v>93</v>
      </c>
      <c r="K224" s="68"/>
      <c r="L224" s="68"/>
      <c r="M224" s="68"/>
      <c r="N224" s="68"/>
    </row>
    <row r="225" customFormat="false" ht="14.25" hidden="false" customHeight="true" outlineLevel="0" collapsed="false">
      <c r="A225" s="68" t="s">
        <v>1184</v>
      </c>
      <c r="B225" s="68" t="n">
        <v>1792</v>
      </c>
      <c r="C225" s="68" t="s">
        <v>1326</v>
      </c>
      <c r="D225" s="68" t="s">
        <v>53</v>
      </c>
      <c r="E225" s="68" t="s">
        <v>54</v>
      </c>
      <c r="F225" s="68" t="s">
        <v>1238</v>
      </c>
      <c r="G225" s="68" t="s">
        <v>1190</v>
      </c>
      <c r="H225" s="68"/>
      <c r="I225" s="68"/>
      <c r="J225" s="68" t="n">
        <v>74</v>
      </c>
      <c r="K225" s="68" t="n">
        <v>10.9</v>
      </c>
      <c r="L225" s="68" t="n">
        <v>0</v>
      </c>
      <c r="M225" s="68"/>
      <c r="N225" s="68"/>
    </row>
    <row r="226" customFormat="false" ht="14.25" hidden="false" customHeight="true" outlineLevel="0" collapsed="false">
      <c r="A226" s="68" t="s">
        <v>1184</v>
      </c>
      <c r="B226" s="68" t="n">
        <v>1793</v>
      </c>
      <c r="C226" s="68" t="s">
        <v>1326</v>
      </c>
      <c r="D226" s="68" t="s">
        <v>53</v>
      </c>
      <c r="E226" s="68" t="s">
        <v>54</v>
      </c>
      <c r="F226" s="68" t="s">
        <v>1330</v>
      </c>
      <c r="G226" s="68" t="s">
        <v>1187</v>
      </c>
      <c r="H226" s="68" t="n">
        <v>505</v>
      </c>
      <c r="I226" s="68" t="s">
        <v>1194</v>
      </c>
      <c r="J226" s="68" t="n">
        <v>35</v>
      </c>
      <c r="K226" s="68"/>
      <c r="L226" s="68"/>
      <c r="M226" s="68"/>
      <c r="N226" s="68"/>
    </row>
    <row r="227" customFormat="false" ht="14.25" hidden="false" customHeight="true" outlineLevel="0" collapsed="false">
      <c r="A227" s="68" t="s">
        <v>1184</v>
      </c>
      <c r="B227" s="68" t="n">
        <v>1794</v>
      </c>
      <c r="C227" s="68" t="s">
        <v>1326</v>
      </c>
      <c r="D227" s="68" t="s">
        <v>53</v>
      </c>
      <c r="E227" s="68" t="s">
        <v>54</v>
      </c>
      <c r="F227" s="68" t="s">
        <v>1239</v>
      </c>
      <c r="G227" s="68" t="s">
        <v>1187</v>
      </c>
      <c r="H227" s="68" t="n">
        <v>810</v>
      </c>
      <c r="I227" s="68" t="s">
        <v>1194</v>
      </c>
      <c r="J227" s="68"/>
      <c r="K227" s="68"/>
      <c r="L227" s="68"/>
      <c r="M227" s="68"/>
      <c r="N227" s="68"/>
    </row>
    <row r="228" customFormat="false" ht="14.25" hidden="false" customHeight="true" outlineLevel="0" collapsed="false">
      <c r="A228" s="68" t="s">
        <v>1184</v>
      </c>
      <c r="B228" s="68" t="n">
        <v>1795</v>
      </c>
      <c r="C228" s="68" t="s">
        <v>1326</v>
      </c>
      <c r="D228" s="68" t="s">
        <v>53</v>
      </c>
      <c r="E228" s="68" t="s">
        <v>54</v>
      </c>
      <c r="F228" s="68" t="s">
        <v>1268</v>
      </c>
      <c r="G228" s="68" t="s">
        <v>1190</v>
      </c>
      <c r="H228" s="68"/>
      <c r="I228" s="68"/>
      <c r="J228" s="68" t="n">
        <v>99</v>
      </c>
      <c r="K228" s="68" t="n">
        <v>19.3</v>
      </c>
      <c r="L228" s="68" t="n">
        <v>0</v>
      </c>
      <c r="M228" s="68"/>
      <c r="N228" s="68"/>
    </row>
    <row r="229" customFormat="false" ht="14.25" hidden="false" customHeight="true" outlineLevel="0" collapsed="false">
      <c r="A229" s="68" t="s">
        <v>1184</v>
      </c>
      <c r="B229" s="68" t="n">
        <v>1796</v>
      </c>
      <c r="C229" s="68" t="s">
        <v>1326</v>
      </c>
      <c r="D229" s="68" t="s">
        <v>53</v>
      </c>
      <c r="E229" s="68" t="s">
        <v>54</v>
      </c>
      <c r="F229" s="68" t="s">
        <v>1240</v>
      </c>
      <c r="G229" s="68" t="s">
        <v>1190</v>
      </c>
      <c r="H229" s="68"/>
      <c r="I229" s="68"/>
      <c r="J229" s="68" t="n">
        <v>54</v>
      </c>
      <c r="K229" s="68" t="n">
        <v>10.1</v>
      </c>
      <c r="L229" s="68" t="n">
        <v>10.7</v>
      </c>
      <c r="M229" s="68"/>
      <c r="N229" s="68"/>
    </row>
    <row r="230" customFormat="false" ht="14.25" hidden="false" customHeight="true" outlineLevel="0" collapsed="false">
      <c r="A230" s="68" t="s">
        <v>1184</v>
      </c>
      <c r="B230" s="68" t="n">
        <v>1797</v>
      </c>
      <c r="C230" s="68" t="s">
        <v>1326</v>
      </c>
      <c r="D230" s="68" t="s">
        <v>53</v>
      </c>
      <c r="E230" s="68" t="s">
        <v>54</v>
      </c>
      <c r="F230" s="68" t="s">
        <v>1241</v>
      </c>
      <c r="G230" s="68" t="s">
        <v>1187</v>
      </c>
      <c r="H230" s="68" t="n">
        <v>90</v>
      </c>
      <c r="I230" s="68" t="s">
        <v>1209</v>
      </c>
      <c r="J230" s="68" t="n">
        <v>34</v>
      </c>
      <c r="K230" s="68"/>
      <c r="L230" s="68"/>
      <c r="M230" s="68"/>
      <c r="N230" s="68"/>
    </row>
    <row r="231" customFormat="false" ht="14.25" hidden="false" customHeight="true" outlineLevel="0" collapsed="false">
      <c r="A231" s="68" t="s">
        <v>1184</v>
      </c>
      <c r="B231" s="68" t="n">
        <v>1798</v>
      </c>
      <c r="C231" s="68" t="s">
        <v>1326</v>
      </c>
      <c r="D231" s="68" t="s">
        <v>53</v>
      </c>
      <c r="E231" s="68" t="s">
        <v>54</v>
      </c>
      <c r="F231" s="68" t="s">
        <v>1270</v>
      </c>
      <c r="G231" s="68" t="s">
        <v>1196</v>
      </c>
      <c r="H231" s="68"/>
      <c r="I231" s="68"/>
      <c r="J231" s="68" t="n">
        <v>12</v>
      </c>
      <c r="K231" s="68"/>
      <c r="L231" s="68"/>
      <c r="M231" s="68" t="n">
        <v>1.1</v>
      </c>
      <c r="N231" s="68" t="n">
        <v>1.52</v>
      </c>
    </row>
    <row r="232" customFormat="false" ht="14.25" hidden="false" customHeight="true" outlineLevel="0" collapsed="false">
      <c r="A232" s="68" t="s">
        <v>1184</v>
      </c>
      <c r="B232" s="68" t="n">
        <v>1799</v>
      </c>
      <c r="C232" s="68" t="s">
        <v>1326</v>
      </c>
      <c r="D232" s="68" t="s">
        <v>53</v>
      </c>
      <c r="E232" s="68" t="s">
        <v>54</v>
      </c>
      <c r="F232" s="68" t="s">
        <v>1331</v>
      </c>
      <c r="G232" s="68" t="s">
        <v>1196</v>
      </c>
      <c r="H232" s="68"/>
      <c r="I232" s="68"/>
      <c r="J232" s="68" t="n">
        <v>35</v>
      </c>
      <c r="K232" s="68"/>
      <c r="L232" s="68"/>
      <c r="M232" s="68" t="n">
        <v>1.6</v>
      </c>
      <c r="N232" s="68" t="n">
        <v>3.18</v>
      </c>
    </row>
    <row r="233" customFormat="false" ht="14.25" hidden="false" customHeight="true" outlineLevel="0" collapsed="false">
      <c r="A233" s="68" t="s">
        <v>1184</v>
      </c>
      <c r="B233" s="68" t="n">
        <v>1800</v>
      </c>
      <c r="C233" s="68" t="s">
        <v>1326</v>
      </c>
      <c r="D233" s="68" t="s">
        <v>53</v>
      </c>
      <c r="E233" s="68" t="s">
        <v>54</v>
      </c>
      <c r="F233" s="68" t="s">
        <v>1215</v>
      </c>
      <c r="G233" s="68" t="s">
        <v>1190</v>
      </c>
      <c r="H233" s="68"/>
      <c r="I233" s="68"/>
      <c r="J233" s="68" t="n">
        <v>29</v>
      </c>
      <c r="K233" s="68" t="n">
        <v>18.9</v>
      </c>
      <c r="L233" s="68" t="n">
        <v>0</v>
      </c>
      <c r="M233" s="68"/>
      <c r="N233" s="68"/>
    </row>
    <row r="234" customFormat="false" ht="14.25" hidden="false" customHeight="true" outlineLevel="0" collapsed="false">
      <c r="A234" s="68" t="s">
        <v>1184</v>
      </c>
      <c r="B234" s="68" t="n">
        <v>1801</v>
      </c>
      <c r="C234" s="68" t="s">
        <v>1326</v>
      </c>
      <c r="D234" s="68" t="s">
        <v>53</v>
      </c>
      <c r="E234" s="68" t="s">
        <v>54</v>
      </c>
      <c r="F234" s="68" t="s">
        <v>1282</v>
      </c>
      <c r="G234" s="68" t="s">
        <v>1190</v>
      </c>
      <c r="H234" s="68"/>
      <c r="I234" s="68"/>
      <c r="J234" s="68" t="n">
        <v>18</v>
      </c>
      <c r="K234" s="68" t="n">
        <v>8.4</v>
      </c>
      <c r="L234" s="68" t="n">
        <v>0</v>
      </c>
      <c r="M234" s="68"/>
      <c r="N234" s="68"/>
    </row>
    <row r="235" customFormat="false" ht="14.25" hidden="false" customHeight="true" outlineLevel="0" collapsed="false">
      <c r="A235" s="68" t="s">
        <v>1184</v>
      </c>
      <c r="B235" s="68" t="n">
        <v>1802</v>
      </c>
      <c r="C235" s="68" t="s">
        <v>1326</v>
      </c>
      <c r="D235" s="68" t="s">
        <v>53</v>
      </c>
      <c r="E235" s="68" t="s">
        <v>54</v>
      </c>
      <c r="F235" s="68" t="s">
        <v>1332</v>
      </c>
      <c r="G235" s="68" t="s">
        <v>1190</v>
      </c>
      <c r="H235" s="68"/>
      <c r="I235" s="68"/>
      <c r="J235" s="68" t="n">
        <v>77</v>
      </c>
      <c r="K235" s="68" t="n">
        <v>4.5</v>
      </c>
      <c r="L235" s="68" t="n">
        <v>8.3</v>
      </c>
      <c r="M235" s="68"/>
      <c r="N235" s="68"/>
    </row>
    <row r="236" customFormat="false" ht="14.25" hidden="false" customHeight="true" outlineLevel="0" collapsed="false">
      <c r="A236" s="68" t="s">
        <v>1184</v>
      </c>
      <c r="B236" s="68" t="n">
        <v>1803</v>
      </c>
      <c r="C236" s="68" t="s">
        <v>1326</v>
      </c>
      <c r="D236" s="68" t="s">
        <v>53</v>
      </c>
      <c r="E236" s="68" t="s">
        <v>54</v>
      </c>
      <c r="F236" s="68" t="s">
        <v>1333</v>
      </c>
      <c r="G236" s="68" t="s">
        <v>1187</v>
      </c>
      <c r="H236" s="68" t="n">
        <v>6</v>
      </c>
      <c r="I236" s="68" t="s">
        <v>1188</v>
      </c>
      <c r="J236" s="68"/>
      <c r="K236" s="68"/>
      <c r="L236" s="68"/>
      <c r="M236" s="68"/>
      <c r="N236" s="68"/>
    </row>
    <row r="237" customFormat="false" ht="14.25" hidden="false" customHeight="true" outlineLevel="0" collapsed="false">
      <c r="A237" s="68" t="s">
        <v>1184</v>
      </c>
      <c r="B237" s="68" t="n">
        <v>1804</v>
      </c>
      <c r="C237" s="68" t="s">
        <v>1326</v>
      </c>
      <c r="D237" s="68" t="s">
        <v>53</v>
      </c>
      <c r="E237" s="68" t="s">
        <v>54</v>
      </c>
      <c r="F237" s="68" t="s">
        <v>1273</v>
      </c>
      <c r="G237" s="68" t="s">
        <v>1190</v>
      </c>
      <c r="H237" s="68"/>
      <c r="I237" s="68"/>
      <c r="J237" s="68" t="n">
        <v>84</v>
      </c>
      <c r="K237" s="68" t="n">
        <v>17.2</v>
      </c>
      <c r="L237" s="68" t="n">
        <v>4.3</v>
      </c>
      <c r="M237" s="68"/>
      <c r="N237" s="68"/>
    </row>
    <row r="238" customFormat="false" ht="14.25" hidden="false" customHeight="true" outlineLevel="0" collapsed="false">
      <c r="A238" s="68" t="s">
        <v>1184</v>
      </c>
      <c r="B238" s="68" t="n">
        <v>1805</v>
      </c>
      <c r="C238" s="68" t="s">
        <v>1326</v>
      </c>
      <c r="D238" s="68" t="s">
        <v>53</v>
      </c>
      <c r="E238" s="68" t="s">
        <v>54</v>
      </c>
      <c r="F238" s="68" t="s">
        <v>1334</v>
      </c>
      <c r="G238" s="68" t="s">
        <v>1187</v>
      </c>
      <c r="H238" s="68" t="n">
        <v>762</v>
      </c>
      <c r="I238" s="68" t="s">
        <v>1194</v>
      </c>
      <c r="J238" s="68" t="n">
        <v>74</v>
      </c>
      <c r="K238" s="68"/>
      <c r="L238" s="68"/>
      <c r="M238" s="68"/>
      <c r="N238" s="68"/>
    </row>
    <row r="239" customFormat="false" ht="14.25" hidden="false" customHeight="true" outlineLevel="0" collapsed="false">
      <c r="A239" s="68" t="s">
        <v>1184</v>
      </c>
      <c r="B239" s="68" t="n">
        <v>1806</v>
      </c>
      <c r="C239" s="68" t="s">
        <v>1335</v>
      </c>
      <c r="D239" s="68" t="s">
        <v>55</v>
      </c>
      <c r="E239" s="68" t="s">
        <v>56</v>
      </c>
      <c r="F239" s="68" t="s">
        <v>1336</v>
      </c>
      <c r="G239" s="68" t="s">
        <v>1196</v>
      </c>
      <c r="H239" s="68"/>
      <c r="I239" s="68"/>
      <c r="J239" s="68" t="n">
        <v>51</v>
      </c>
      <c r="K239" s="68"/>
      <c r="L239" s="68"/>
      <c r="M239" s="68" t="n">
        <v>0.8</v>
      </c>
      <c r="N239" s="68" t="n">
        <v>1.9</v>
      </c>
    </row>
    <row r="240" customFormat="false" ht="14.25" hidden="false" customHeight="true" outlineLevel="0" collapsed="false">
      <c r="A240" s="68" t="s">
        <v>1184</v>
      </c>
      <c r="B240" s="68" t="n">
        <v>1807</v>
      </c>
      <c r="C240" s="68" t="s">
        <v>1335</v>
      </c>
      <c r="D240" s="68" t="s">
        <v>55</v>
      </c>
      <c r="E240" s="68" t="s">
        <v>56</v>
      </c>
      <c r="F240" s="68" t="s">
        <v>1276</v>
      </c>
      <c r="G240" s="68" t="s">
        <v>1190</v>
      </c>
      <c r="H240" s="68"/>
      <c r="I240" s="68"/>
      <c r="J240" s="68" t="n">
        <v>22</v>
      </c>
      <c r="K240" s="68" t="n">
        <v>13.1</v>
      </c>
      <c r="L240" s="68" t="n">
        <v>0.9</v>
      </c>
      <c r="M240" s="68"/>
      <c r="N240" s="68"/>
    </row>
    <row r="241" customFormat="false" ht="14.25" hidden="false" customHeight="true" outlineLevel="0" collapsed="false">
      <c r="A241" s="68" t="s">
        <v>1184</v>
      </c>
      <c r="B241" s="68" t="n">
        <v>1808</v>
      </c>
      <c r="C241" s="68" t="s">
        <v>1335</v>
      </c>
      <c r="D241" s="68" t="s">
        <v>55</v>
      </c>
      <c r="E241" s="68" t="s">
        <v>56</v>
      </c>
      <c r="F241" s="68" t="s">
        <v>1253</v>
      </c>
      <c r="G241" s="68" t="s">
        <v>1187</v>
      </c>
      <c r="H241" s="68" t="n">
        <v>63</v>
      </c>
      <c r="I241" s="68" t="s">
        <v>1188</v>
      </c>
      <c r="J241" s="68" t="n">
        <v>83</v>
      </c>
      <c r="K241" s="68"/>
      <c r="L241" s="68"/>
      <c r="M241" s="68"/>
      <c r="N241" s="68"/>
    </row>
    <row r="242" customFormat="false" ht="14.25" hidden="false" customHeight="true" outlineLevel="0" collapsed="false">
      <c r="A242" s="68" t="s">
        <v>1184</v>
      </c>
      <c r="B242" s="68" t="n">
        <v>1809</v>
      </c>
      <c r="C242" s="68" t="s">
        <v>1335</v>
      </c>
      <c r="D242" s="68" t="s">
        <v>55</v>
      </c>
      <c r="E242" s="68" t="s">
        <v>56</v>
      </c>
      <c r="F242" s="68" t="s">
        <v>1254</v>
      </c>
      <c r="G242" s="68" t="s">
        <v>1196</v>
      </c>
      <c r="H242" s="68"/>
      <c r="I242" s="68"/>
      <c r="J242" s="68"/>
      <c r="K242" s="68"/>
      <c r="L242" s="68"/>
      <c r="M242" s="68" t="n">
        <v>0.6</v>
      </c>
      <c r="N242" s="68" t="n">
        <v>3.43</v>
      </c>
    </row>
    <row r="243" customFormat="false" ht="14.25" hidden="false" customHeight="true" outlineLevel="0" collapsed="false">
      <c r="A243" s="68" t="s">
        <v>1184</v>
      </c>
      <c r="B243" s="68" t="n">
        <v>1810</v>
      </c>
      <c r="C243" s="68" t="s">
        <v>1335</v>
      </c>
      <c r="D243" s="68" t="s">
        <v>55</v>
      </c>
      <c r="E243" s="68" t="s">
        <v>56</v>
      </c>
      <c r="F243" s="68" t="s">
        <v>1337</v>
      </c>
      <c r="G243" s="68" t="s">
        <v>1190</v>
      </c>
      <c r="H243" s="68"/>
      <c r="I243" s="68"/>
      <c r="J243" s="68" t="n">
        <v>60</v>
      </c>
      <c r="K243" s="68" t="n">
        <v>17</v>
      </c>
      <c r="L243" s="68" t="n">
        <v>11.2</v>
      </c>
      <c r="M243" s="68"/>
      <c r="N243" s="68"/>
    </row>
    <row r="244" customFormat="false" ht="14.25" hidden="false" customHeight="true" outlineLevel="0" collapsed="false">
      <c r="A244" s="68" t="s">
        <v>1184</v>
      </c>
      <c r="B244" s="68" t="n">
        <v>1811</v>
      </c>
      <c r="C244" s="68" t="s">
        <v>1335</v>
      </c>
      <c r="D244" s="68" t="s">
        <v>55</v>
      </c>
      <c r="E244" s="68" t="s">
        <v>56</v>
      </c>
      <c r="F244" s="68" t="s">
        <v>1338</v>
      </c>
      <c r="G244" s="68" t="s">
        <v>1190</v>
      </c>
      <c r="H244" s="68"/>
      <c r="I244" s="68"/>
      <c r="J244" s="68" t="n">
        <v>16</v>
      </c>
      <c r="K244" s="68" t="n">
        <v>9.6</v>
      </c>
      <c r="L244" s="68" t="n">
        <v>1.9</v>
      </c>
      <c r="M244" s="68"/>
      <c r="N244" s="68"/>
    </row>
    <row r="245" customFormat="false" ht="14.25" hidden="false" customHeight="true" outlineLevel="0" collapsed="false">
      <c r="A245" s="68" t="s">
        <v>1184</v>
      </c>
      <c r="B245" s="68" t="n">
        <v>1812</v>
      </c>
      <c r="C245" s="68" t="s">
        <v>1335</v>
      </c>
      <c r="D245" s="68" t="s">
        <v>55</v>
      </c>
      <c r="E245" s="68" t="s">
        <v>56</v>
      </c>
      <c r="F245" s="68" t="s">
        <v>1257</v>
      </c>
      <c r="G245" s="68" t="s">
        <v>1190</v>
      </c>
      <c r="H245" s="68"/>
      <c r="I245" s="68"/>
      <c r="J245" s="68" t="n">
        <v>41</v>
      </c>
      <c r="K245" s="68" t="n">
        <v>16.8</v>
      </c>
      <c r="L245" s="68" t="n">
        <v>7.1</v>
      </c>
      <c r="M245" s="68"/>
      <c r="N245" s="68"/>
    </row>
    <row r="246" customFormat="false" ht="14.25" hidden="false" customHeight="true" outlineLevel="0" collapsed="false">
      <c r="A246" s="68" t="s">
        <v>1184</v>
      </c>
      <c r="B246" s="68" t="n">
        <v>1813</v>
      </c>
      <c r="C246" s="68" t="s">
        <v>1335</v>
      </c>
      <c r="D246" s="68" t="s">
        <v>55</v>
      </c>
      <c r="E246" s="68" t="s">
        <v>56</v>
      </c>
      <c r="F246" s="68" t="s">
        <v>1288</v>
      </c>
      <c r="G246" s="68" t="s">
        <v>1190</v>
      </c>
      <c r="H246" s="68"/>
      <c r="I246" s="68"/>
      <c r="J246" s="68" t="n">
        <v>18</v>
      </c>
      <c r="K246" s="68" t="n">
        <v>11.5</v>
      </c>
      <c r="L246" s="68" t="n">
        <v>0</v>
      </c>
      <c r="M246" s="68"/>
      <c r="N246" s="68"/>
    </row>
    <row r="247" customFormat="false" ht="14.25" hidden="false" customHeight="true" outlineLevel="0" collapsed="false">
      <c r="A247" s="68" t="s">
        <v>1184</v>
      </c>
      <c r="B247" s="68" t="n">
        <v>1814</v>
      </c>
      <c r="C247" s="68" t="s">
        <v>1335</v>
      </c>
      <c r="D247" s="68" t="s">
        <v>55</v>
      </c>
      <c r="E247" s="68" t="s">
        <v>56</v>
      </c>
      <c r="F247" s="68" t="s">
        <v>1200</v>
      </c>
      <c r="G247" s="68" t="s">
        <v>1190</v>
      </c>
      <c r="H247" s="68"/>
      <c r="I247" s="68"/>
      <c r="J247" s="68" t="n">
        <v>24</v>
      </c>
      <c r="K247" s="68" t="n">
        <v>17.4</v>
      </c>
      <c r="L247" s="68" t="n">
        <v>4.2</v>
      </c>
      <c r="M247" s="68"/>
      <c r="N247" s="68"/>
    </row>
    <row r="248" customFormat="false" ht="14.25" hidden="false" customHeight="true" outlineLevel="0" collapsed="false">
      <c r="A248" s="68" t="s">
        <v>1184</v>
      </c>
      <c r="B248" s="68" t="n">
        <v>1815</v>
      </c>
      <c r="C248" s="68" t="s">
        <v>1335</v>
      </c>
      <c r="D248" s="68" t="s">
        <v>55</v>
      </c>
      <c r="E248" s="68" t="s">
        <v>56</v>
      </c>
      <c r="F248" s="68" t="s">
        <v>1339</v>
      </c>
      <c r="G248" s="68" t="s">
        <v>1187</v>
      </c>
      <c r="H248" s="68" t="n">
        <v>350</v>
      </c>
      <c r="I248" s="68" t="s">
        <v>1194</v>
      </c>
      <c r="J248" s="68" t="n">
        <v>93</v>
      </c>
      <c r="K248" s="68"/>
      <c r="L248" s="68"/>
      <c r="M248" s="68"/>
      <c r="N248" s="68"/>
    </row>
    <row r="249" customFormat="false" ht="14.25" hidden="false" customHeight="true" outlineLevel="0" collapsed="false">
      <c r="A249" s="68" t="s">
        <v>1184</v>
      </c>
      <c r="B249" s="68" t="n">
        <v>1816</v>
      </c>
      <c r="C249" s="68" t="s">
        <v>1335</v>
      </c>
      <c r="D249" s="68" t="s">
        <v>55</v>
      </c>
      <c r="E249" s="68" t="s">
        <v>56</v>
      </c>
      <c r="F249" s="68" t="s">
        <v>1340</v>
      </c>
      <c r="G249" s="68" t="s">
        <v>1187</v>
      </c>
      <c r="H249" s="68" t="n">
        <v>592</v>
      </c>
      <c r="I249" s="68" t="s">
        <v>1194</v>
      </c>
      <c r="J249" s="68" t="n">
        <v>72</v>
      </c>
      <c r="K249" s="68"/>
      <c r="L249" s="68"/>
      <c r="M249" s="68"/>
      <c r="N249" s="68"/>
    </row>
    <row r="250" customFormat="false" ht="14.25" hidden="false" customHeight="true" outlineLevel="0" collapsed="false">
      <c r="A250" s="68" t="s">
        <v>1184</v>
      </c>
      <c r="B250" s="68" t="n">
        <v>1817</v>
      </c>
      <c r="C250" s="68" t="s">
        <v>1335</v>
      </c>
      <c r="D250" s="68" t="s">
        <v>55</v>
      </c>
      <c r="E250" s="68" t="s">
        <v>56</v>
      </c>
      <c r="F250" s="68" t="s">
        <v>1234</v>
      </c>
      <c r="G250" s="68" t="s">
        <v>1190</v>
      </c>
      <c r="H250" s="68"/>
      <c r="I250" s="68"/>
      <c r="J250" s="68" t="n">
        <v>30</v>
      </c>
      <c r="K250" s="68" t="n">
        <v>15.7</v>
      </c>
      <c r="L250" s="68" t="n">
        <v>0.1</v>
      </c>
      <c r="M250" s="68"/>
      <c r="N250" s="68"/>
    </row>
    <row r="251" customFormat="false" ht="14.25" hidden="false" customHeight="true" outlineLevel="0" collapsed="false">
      <c r="A251" s="68" t="s">
        <v>1184</v>
      </c>
      <c r="B251" s="68" t="n">
        <v>1818</v>
      </c>
      <c r="C251" s="68" t="s">
        <v>1335</v>
      </c>
      <c r="D251" s="68" t="s">
        <v>55</v>
      </c>
      <c r="E251" s="68" t="s">
        <v>56</v>
      </c>
      <c r="F251" s="68" t="s">
        <v>1341</v>
      </c>
      <c r="G251" s="68" t="s">
        <v>1190</v>
      </c>
      <c r="H251" s="68"/>
      <c r="I251" s="68"/>
      <c r="J251" s="68"/>
      <c r="K251" s="68" t="n">
        <v>13.8</v>
      </c>
      <c r="L251" s="68" t="n">
        <v>6.2</v>
      </c>
      <c r="M251" s="68"/>
      <c r="N251" s="68"/>
    </row>
    <row r="252" customFormat="false" ht="14.25" hidden="false" customHeight="true" outlineLevel="0" collapsed="false">
      <c r="A252" s="68" t="s">
        <v>1184</v>
      </c>
      <c r="B252" s="68" t="n">
        <v>1819</v>
      </c>
      <c r="C252" s="68" t="s">
        <v>1335</v>
      </c>
      <c r="D252" s="68" t="s">
        <v>55</v>
      </c>
      <c r="E252" s="68" t="s">
        <v>56</v>
      </c>
      <c r="F252" s="68" t="s">
        <v>1302</v>
      </c>
      <c r="G252" s="68" t="s">
        <v>1190</v>
      </c>
      <c r="H252" s="68"/>
      <c r="I252" s="68"/>
      <c r="J252" s="68"/>
      <c r="K252" s="68" t="n">
        <v>6.1</v>
      </c>
      <c r="L252" s="68" t="n">
        <v>0.5</v>
      </c>
      <c r="M252" s="68"/>
      <c r="N252" s="68"/>
    </row>
    <row r="253" customFormat="false" ht="14.25" hidden="false" customHeight="true" outlineLevel="0" collapsed="false">
      <c r="A253" s="68" t="s">
        <v>1184</v>
      </c>
      <c r="B253" s="68" t="n">
        <v>1820</v>
      </c>
      <c r="C253" s="68" t="s">
        <v>1335</v>
      </c>
      <c r="D253" s="68" t="s">
        <v>55</v>
      </c>
      <c r="E253" s="68" t="s">
        <v>56</v>
      </c>
      <c r="F253" s="68" t="s">
        <v>1342</v>
      </c>
      <c r="G253" s="68" t="s">
        <v>1196</v>
      </c>
      <c r="H253" s="68"/>
      <c r="I253" s="68"/>
      <c r="J253" s="68" t="n">
        <v>77</v>
      </c>
      <c r="K253" s="68"/>
      <c r="L253" s="68"/>
      <c r="M253" s="68" t="n">
        <v>3.6</v>
      </c>
      <c r="N253" s="68" t="n">
        <v>1.78</v>
      </c>
    </row>
    <row r="254" customFormat="false" ht="14.25" hidden="false" customHeight="true" outlineLevel="0" collapsed="false">
      <c r="A254" s="68" t="s">
        <v>1184</v>
      </c>
      <c r="B254" s="68" t="n">
        <v>1821</v>
      </c>
      <c r="C254" s="68" t="s">
        <v>1335</v>
      </c>
      <c r="D254" s="68" t="s">
        <v>55</v>
      </c>
      <c r="E254" s="68" t="s">
        <v>56</v>
      </c>
      <c r="F254" s="68" t="s">
        <v>1268</v>
      </c>
      <c r="G254" s="68" t="s">
        <v>1190</v>
      </c>
      <c r="H254" s="68"/>
      <c r="I254" s="68"/>
      <c r="J254" s="68" t="n">
        <v>59</v>
      </c>
      <c r="K254" s="68" t="n">
        <v>16.6</v>
      </c>
      <c r="L254" s="68" t="n">
        <v>6.4</v>
      </c>
      <c r="M254" s="68"/>
      <c r="N254" s="68"/>
    </row>
    <row r="255" customFormat="false" ht="14.25" hidden="false" customHeight="true" outlineLevel="0" collapsed="false">
      <c r="A255" s="68" t="s">
        <v>1184</v>
      </c>
      <c r="B255" s="68" t="n">
        <v>1822</v>
      </c>
      <c r="C255" s="68" t="s">
        <v>1335</v>
      </c>
      <c r="D255" s="68" t="s">
        <v>55</v>
      </c>
      <c r="E255" s="68" t="s">
        <v>56</v>
      </c>
      <c r="F255" s="68" t="s">
        <v>1240</v>
      </c>
      <c r="G255" s="68" t="s">
        <v>1187</v>
      </c>
      <c r="H255" s="68" t="n">
        <v>525</v>
      </c>
      <c r="I255" s="68" t="s">
        <v>1209</v>
      </c>
      <c r="J255" s="68"/>
      <c r="K255" s="68"/>
      <c r="L255" s="68"/>
      <c r="M255" s="68"/>
      <c r="N255" s="68"/>
    </row>
    <row r="256" customFormat="false" ht="14.25" hidden="false" customHeight="true" outlineLevel="0" collapsed="false">
      <c r="A256" s="68" t="s">
        <v>1184</v>
      </c>
      <c r="B256" s="68" t="n">
        <v>1823</v>
      </c>
      <c r="C256" s="68" t="s">
        <v>1335</v>
      </c>
      <c r="D256" s="68" t="s">
        <v>55</v>
      </c>
      <c r="E256" s="68" t="s">
        <v>56</v>
      </c>
      <c r="F256" s="68" t="s">
        <v>1304</v>
      </c>
      <c r="G256" s="68" t="s">
        <v>1187</v>
      </c>
      <c r="H256" s="68" t="n">
        <v>717</v>
      </c>
      <c r="I256" s="68" t="s">
        <v>1194</v>
      </c>
      <c r="J256" s="68"/>
      <c r="K256" s="68"/>
      <c r="L256" s="68"/>
      <c r="M256" s="68"/>
      <c r="N256" s="68"/>
    </row>
    <row r="257" customFormat="false" ht="14.25" hidden="false" customHeight="true" outlineLevel="0" collapsed="false">
      <c r="A257" s="68" t="s">
        <v>1184</v>
      </c>
      <c r="B257" s="68" t="n">
        <v>1824</v>
      </c>
      <c r="C257" s="68" t="s">
        <v>1335</v>
      </c>
      <c r="D257" s="68" t="s">
        <v>55</v>
      </c>
      <c r="E257" s="68" t="s">
        <v>56</v>
      </c>
      <c r="F257" s="68" t="s">
        <v>1343</v>
      </c>
      <c r="G257" s="68" t="s">
        <v>1196</v>
      </c>
      <c r="H257" s="68"/>
      <c r="I257" s="68"/>
      <c r="J257" s="68" t="n">
        <v>64</v>
      </c>
      <c r="K257" s="68"/>
      <c r="L257" s="68"/>
      <c r="M257" s="68" t="n">
        <v>1.4</v>
      </c>
      <c r="N257" s="68" t="n">
        <v>0.59</v>
      </c>
    </row>
    <row r="258" customFormat="false" ht="14.25" hidden="false" customHeight="true" outlineLevel="0" collapsed="false">
      <c r="A258" s="68" t="s">
        <v>1184</v>
      </c>
      <c r="B258" s="68" t="n">
        <v>1825</v>
      </c>
      <c r="C258" s="68" t="s">
        <v>1335</v>
      </c>
      <c r="D258" s="68" t="s">
        <v>55</v>
      </c>
      <c r="E258" s="68" t="s">
        <v>56</v>
      </c>
      <c r="F258" s="68" t="s">
        <v>1272</v>
      </c>
      <c r="G258" s="68" t="s">
        <v>1190</v>
      </c>
      <c r="H258" s="68"/>
      <c r="I258" s="68"/>
      <c r="J258" s="68" t="n">
        <v>72</v>
      </c>
      <c r="K258" s="68" t="n">
        <v>18.7</v>
      </c>
      <c r="L258" s="68" t="n">
        <v>0</v>
      </c>
      <c r="M258" s="68"/>
      <c r="N258" s="68"/>
    </row>
    <row r="259" customFormat="false" ht="14.25" hidden="false" customHeight="true" outlineLevel="0" collapsed="false">
      <c r="A259" s="68" t="s">
        <v>1184</v>
      </c>
      <c r="B259" s="68" t="n">
        <v>1826</v>
      </c>
      <c r="C259" s="68" t="s">
        <v>1335</v>
      </c>
      <c r="D259" s="68" t="s">
        <v>55</v>
      </c>
      <c r="E259" s="68" t="s">
        <v>56</v>
      </c>
      <c r="F259" s="68" t="s">
        <v>1245</v>
      </c>
      <c r="G259" s="68" t="s">
        <v>1187</v>
      </c>
      <c r="H259" s="68" t="n">
        <v>51</v>
      </c>
      <c r="I259" s="68" t="s">
        <v>1194</v>
      </c>
      <c r="J259" s="68" t="n">
        <v>19</v>
      </c>
      <c r="K259" s="68"/>
      <c r="L259" s="68"/>
      <c r="M259" s="68"/>
      <c r="N259" s="68"/>
    </row>
    <row r="260" customFormat="false" ht="14.25" hidden="false" customHeight="true" outlineLevel="0" collapsed="false">
      <c r="A260" s="68" t="s">
        <v>1184</v>
      </c>
      <c r="B260" s="68" t="n">
        <v>1827</v>
      </c>
      <c r="C260" s="68" t="s">
        <v>1335</v>
      </c>
      <c r="D260" s="68" t="s">
        <v>55</v>
      </c>
      <c r="E260" s="68" t="s">
        <v>56</v>
      </c>
      <c r="F260" s="68" t="s">
        <v>1216</v>
      </c>
      <c r="G260" s="68" t="s">
        <v>1187</v>
      </c>
      <c r="H260" s="68" t="n">
        <v>118</v>
      </c>
      <c r="I260" s="68" t="s">
        <v>1194</v>
      </c>
      <c r="J260" s="68" t="n">
        <v>56</v>
      </c>
      <c r="K260" s="68"/>
      <c r="L260" s="68"/>
      <c r="M260" s="68"/>
      <c r="N260" s="68"/>
    </row>
    <row r="261" customFormat="false" ht="14.25" hidden="false" customHeight="true" outlineLevel="0" collapsed="false">
      <c r="A261" s="68" t="s">
        <v>1184</v>
      </c>
      <c r="B261" s="68" t="n">
        <v>1828</v>
      </c>
      <c r="C261" s="68" t="s">
        <v>1335</v>
      </c>
      <c r="D261" s="68" t="s">
        <v>55</v>
      </c>
      <c r="E261" s="68" t="s">
        <v>56</v>
      </c>
      <c r="F261" s="68" t="s">
        <v>1344</v>
      </c>
      <c r="G261" s="68" t="s">
        <v>1196</v>
      </c>
      <c r="H261" s="68"/>
      <c r="I261" s="68"/>
      <c r="J261" s="68" t="n">
        <v>31</v>
      </c>
      <c r="K261" s="68"/>
      <c r="L261" s="68"/>
      <c r="M261" s="68" t="n">
        <v>3.2</v>
      </c>
      <c r="N261" s="68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8" min="3" style="1" width="14"/>
    <col collapsed="false" customWidth="true" hidden="false" outlineLevel="0" max="26" min="9" style="1" width="16"/>
  </cols>
  <sheetData>
    <row r="1" customFormat="false" ht="33.75" hidden="false" customHeight="true" outlineLevel="0" collapsed="false">
      <c r="A1" s="5" t="s">
        <v>838</v>
      </c>
      <c r="B1" s="5" t="s">
        <v>839</v>
      </c>
      <c r="C1" s="5" t="s">
        <v>1345</v>
      </c>
      <c r="D1" s="5" t="s">
        <v>1346</v>
      </c>
      <c r="E1" s="5" t="s">
        <v>791</v>
      </c>
      <c r="F1" s="5" t="s">
        <v>792</v>
      </c>
      <c r="G1" s="5" t="s">
        <v>1347</v>
      </c>
      <c r="H1" s="5" t="s">
        <v>1348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4.25" hidden="false" customHeight="true" outlineLevel="0" collapsed="false">
      <c r="A2" s="68" t="s">
        <v>1349</v>
      </c>
      <c r="B2" s="68" t="n">
        <v>1829</v>
      </c>
      <c r="C2" s="68" t="s">
        <v>31</v>
      </c>
      <c r="D2" s="68" t="s">
        <v>16</v>
      </c>
      <c r="E2" s="68" t="n">
        <v>2022</v>
      </c>
      <c r="F2" s="68" t="s">
        <v>797</v>
      </c>
      <c r="G2" s="68" t="n">
        <v>10351</v>
      </c>
      <c r="H2" s="68" t="n">
        <v>4.8</v>
      </c>
    </row>
    <row r="3" customFormat="false" ht="14.25" hidden="false" customHeight="true" outlineLevel="0" collapsed="false">
      <c r="A3" s="68" t="s">
        <v>1349</v>
      </c>
      <c r="B3" s="68" t="n">
        <v>1830</v>
      </c>
      <c r="C3" s="68" t="s">
        <v>67</v>
      </c>
      <c r="D3" s="68" t="s">
        <v>39</v>
      </c>
      <c r="E3" s="68" t="n">
        <v>2022</v>
      </c>
      <c r="F3" s="68" t="s">
        <v>797</v>
      </c>
      <c r="G3" s="68" t="n">
        <v>10904</v>
      </c>
      <c r="H3" s="68" t="n">
        <v>3</v>
      </c>
    </row>
    <row r="4" customFormat="false" ht="14.25" hidden="false" customHeight="true" outlineLevel="0" collapsed="false">
      <c r="A4" s="68" t="s">
        <v>1349</v>
      </c>
      <c r="B4" s="68" t="n">
        <v>1831</v>
      </c>
      <c r="C4" s="68" t="s">
        <v>16</v>
      </c>
      <c r="D4" s="68" t="s">
        <v>55</v>
      </c>
      <c r="E4" s="68" t="n">
        <v>2022</v>
      </c>
      <c r="F4" s="68" t="s">
        <v>797</v>
      </c>
      <c r="G4" s="68" t="n">
        <v>1596</v>
      </c>
      <c r="H4" s="68" t="n">
        <v>2.9</v>
      </c>
    </row>
    <row r="5" customFormat="false" ht="14.25" hidden="false" customHeight="true" outlineLevel="0" collapsed="false">
      <c r="A5" s="68" t="s">
        <v>1349</v>
      </c>
      <c r="B5" s="68" t="n">
        <v>1832</v>
      </c>
      <c r="C5" s="68" t="s">
        <v>67</v>
      </c>
      <c r="D5" s="68" t="s">
        <v>46</v>
      </c>
      <c r="E5" s="68" t="n">
        <v>2022</v>
      </c>
      <c r="F5" s="68" t="s">
        <v>797</v>
      </c>
      <c r="G5" s="68" t="n">
        <v>1575</v>
      </c>
      <c r="H5" s="68" t="n">
        <v>4</v>
      </c>
    </row>
    <row r="6" customFormat="false" ht="14.25" hidden="false" customHeight="true" outlineLevel="0" collapsed="false">
      <c r="A6" s="68" t="s">
        <v>1349</v>
      </c>
      <c r="B6" s="68" t="n">
        <v>1833</v>
      </c>
      <c r="C6" s="68" t="s">
        <v>16</v>
      </c>
      <c r="D6" s="68" t="s">
        <v>67</v>
      </c>
      <c r="E6" s="68" t="n">
        <v>2022</v>
      </c>
      <c r="F6" s="68" t="s">
        <v>797</v>
      </c>
      <c r="G6" s="68" t="n">
        <v>9826</v>
      </c>
      <c r="H6" s="68" t="n">
        <v>4.5</v>
      </c>
    </row>
    <row r="7" customFormat="false" ht="14.25" hidden="false" customHeight="true" outlineLevel="0" collapsed="false">
      <c r="A7" s="68" t="s">
        <v>1349</v>
      </c>
      <c r="B7" s="68" t="n">
        <v>1834</v>
      </c>
      <c r="C7" s="68" t="s">
        <v>46</v>
      </c>
      <c r="D7" s="68" t="s">
        <v>31</v>
      </c>
      <c r="E7" s="68" t="n">
        <v>2022</v>
      </c>
      <c r="F7" s="68" t="s">
        <v>797</v>
      </c>
      <c r="G7" s="68" t="n">
        <v>1083</v>
      </c>
      <c r="H7" s="68" t="n">
        <v>2.2</v>
      </c>
    </row>
    <row r="8" customFormat="false" ht="14.25" hidden="false" customHeight="true" outlineLevel="0" collapsed="false">
      <c r="A8" s="68" t="s">
        <v>1349</v>
      </c>
      <c r="B8" s="68" t="n">
        <v>1835</v>
      </c>
      <c r="C8" s="68" t="s">
        <v>22</v>
      </c>
      <c r="D8" s="68" t="s">
        <v>35</v>
      </c>
      <c r="E8" s="68" t="n">
        <v>2022</v>
      </c>
      <c r="F8" s="68" t="s">
        <v>797</v>
      </c>
      <c r="G8" s="68" t="n">
        <v>1795</v>
      </c>
      <c r="H8" s="68" t="n">
        <v>2.2</v>
      </c>
    </row>
    <row r="9" customFormat="false" ht="14.25" hidden="false" customHeight="true" outlineLevel="0" collapsed="false">
      <c r="A9" s="68" t="s">
        <v>1349</v>
      </c>
      <c r="B9" s="68" t="n">
        <v>1836</v>
      </c>
      <c r="C9" s="68" t="s">
        <v>46</v>
      </c>
      <c r="D9" s="68" t="s">
        <v>27</v>
      </c>
      <c r="E9" s="68" t="n">
        <v>2022</v>
      </c>
      <c r="F9" s="68" t="s">
        <v>797</v>
      </c>
      <c r="G9" s="68" t="n">
        <v>6230</v>
      </c>
      <c r="H9" s="68" t="n">
        <v>1.8</v>
      </c>
    </row>
    <row r="10" customFormat="false" ht="14.25" hidden="false" customHeight="true" outlineLevel="0" collapsed="false">
      <c r="A10" s="68" t="s">
        <v>1349</v>
      </c>
      <c r="B10" s="68" t="n">
        <v>1837</v>
      </c>
      <c r="C10" s="68" t="s">
        <v>64</v>
      </c>
      <c r="D10" s="68" t="s">
        <v>67</v>
      </c>
      <c r="E10" s="68" t="n">
        <v>2022</v>
      </c>
      <c r="F10" s="68" t="s">
        <v>797</v>
      </c>
      <c r="G10" s="68" t="n">
        <v>1551</v>
      </c>
      <c r="H10" s="68" t="n">
        <v>2.3</v>
      </c>
    </row>
    <row r="11" customFormat="false" ht="14.25" hidden="false" customHeight="true" outlineLevel="0" collapsed="false">
      <c r="A11" s="68" t="s">
        <v>1349</v>
      </c>
      <c r="B11" s="68" t="n">
        <v>1838</v>
      </c>
      <c r="C11" s="68" t="s">
        <v>50</v>
      </c>
      <c r="D11" s="68" t="s">
        <v>27</v>
      </c>
      <c r="E11" s="68" t="n">
        <v>2022</v>
      </c>
      <c r="F11" s="68" t="s">
        <v>797</v>
      </c>
      <c r="G11" s="68" t="n">
        <v>2117</v>
      </c>
      <c r="H11" s="68" t="n">
        <v>2.9</v>
      </c>
    </row>
    <row r="12" customFormat="false" ht="14.25" hidden="false" customHeight="true" outlineLevel="0" collapsed="false">
      <c r="A12" s="68" t="s">
        <v>1349</v>
      </c>
      <c r="B12" s="68" t="n">
        <v>1839</v>
      </c>
      <c r="C12" s="68" t="s">
        <v>57</v>
      </c>
      <c r="D12" s="68" t="s">
        <v>39</v>
      </c>
      <c r="E12" s="68" t="n">
        <v>2022</v>
      </c>
      <c r="F12" s="68" t="s">
        <v>797</v>
      </c>
      <c r="G12" s="68" t="n">
        <v>6863</v>
      </c>
      <c r="H12" s="68" t="n">
        <v>1.6</v>
      </c>
    </row>
    <row r="13" customFormat="false" ht="14.25" hidden="false" customHeight="true" outlineLevel="0" collapsed="false">
      <c r="A13" s="68" t="s">
        <v>1349</v>
      </c>
      <c r="B13" s="68" t="n">
        <v>1840</v>
      </c>
      <c r="C13" s="68" t="s">
        <v>53</v>
      </c>
      <c r="D13" s="68" t="s">
        <v>67</v>
      </c>
      <c r="E13" s="68" t="n">
        <v>2022</v>
      </c>
      <c r="F13" s="68" t="s">
        <v>797</v>
      </c>
      <c r="G13" s="68" t="n">
        <v>4129</v>
      </c>
      <c r="H13" s="68" t="n">
        <v>3.3</v>
      </c>
    </row>
    <row r="14" customFormat="false" ht="14.25" hidden="false" customHeight="true" outlineLevel="0" collapsed="false">
      <c r="A14" s="68" t="s">
        <v>1349</v>
      </c>
      <c r="B14" s="68" t="n">
        <v>1841</v>
      </c>
      <c r="C14" s="68" t="s">
        <v>16</v>
      </c>
      <c r="D14" s="68" t="s">
        <v>22</v>
      </c>
      <c r="E14" s="68" t="n">
        <v>2022</v>
      </c>
      <c r="F14" s="68" t="s">
        <v>797</v>
      </c>
      <c r="G14" s="68" t="n">
        <v>606</v>
      </c>
      <c r="H14" s="68" t="n">
        <v>2.3</v>
      </c>
    </row>
    <row r="15" customFormat="false" ht="14.25" hidden="false" customHeight="true" outlineLevel="0" collapsed="false">
      <c r="A15" s="68" t="s">
        <v>1349</v>
      </c>
      <c r="B15" s="68" t="n">
        <v>1842</v>
      </c>
      <c r="C15" s="68" t="s">
        <v>55</v>
      </c>
      <c r="D15" s="68" t="s">
        <v>50</v>
      </c>
      <c r="E15" s="68" t="n">
        <v>2022</v>
      </c>
      <c r="F15" s="68" t="s">
        <v>797</v>
      </c>
      <c r="G15" s="68" t="n">
        <v>2408</v>
      </c>
      <c r="H15" s="68" t="n">
        <v>1.7</v>
      </c>
    </row>
    <row r="16" customFormat="false" ht="14.25" hidden="false" customHeight="true" outlineLevel="0" collapsed="false">
      <c r="A16" s="68" t="s">
        <v>1349</v>
      </c>
      <c r="B16" s="68" t="n">
        <v>1843</v>
      </c>
      <c r="C16" s="68" t="s">
        <v>22</v>
      </c>
      <c r="D16" s="68" t="s">
        <v>35</v>
      </c>
      <c r="E16" s="68" t="n">
        <v>2022</v>
      </c>
      <c r="F16" s="68" t="s">
        <v>797</v>
      </c>
      <c r="G16" s="68" t="n">
        <v>3349</v>
      </c>
      <c r="H16" s="68" t="n">
        <v>1.8</v>
      </c>
    </row>
    <row r="17" customFormat="false" ht="14.25" hidden="false" customHeight="true" outlineLevel="0" collapsed="false">
      <c r="A17" s="68" t="s">
        <v>1349</v>
      </c>
      <c r="B17" s="68" t="n">
        <v>1844</v>
      </c>
      <c r="C17" s="68" t="s">
        <v>35</v>
      </c>
      <c r="D17" s="68" t="s">
        <v>22</v>
      </c>
      <c r="E17" s="68" t="n">
        <v>2022</v>
      </c>
      <c r="F17" s="68" t="s">
        <v>797</v>
      </c>
      <c r="G17" s="68" t="n">
        <v>7107</v>
      </c>
      <c r="H17" s="68" t="n">
        <v>4.1</v>
      </c>
    </row>
    <row r="18" customFormat="false" ht="14.25" hidden="false" customHeight="true" outlineLevel="0" collapsed="false">
      <c r="A18" s="68" t="s">
        <v>1349</v>
      </c>
      <c r="B18" s="68" t="n">
        <v>1845</v>
      </c>
      <c r="C18" s="68" t="s">
        <v>50</v>
      </c>
      <c r="D18" s="68" t="s">
        <v>35</v>
      </c>
      <c r="E18" s="68" t="n">
        <v>2022</v>
      </c>
      <c r="F18" s="68" t="s">
        <v>797</v>
      </c>
      <c r="G18" s="68" t="n">
        <v>6942</v>
      </c>
      <c r="H18" s="68" t="n">
        <v>0.7</v>
      </c>
    </row>
    <row r="19" customFormat="false" ht="14.25" hidden="false" customHeight="true" outlineLevel="0" collapsed="false">
      <c r="A19" s="68" t="s">
        <v>1349</v>
      </c>
      <c r="B19" s="68" t="n">
        <v>1846</v>
      </c>
      <c r="C19" s="68" t="s">
        <v>42</v>
      </c>
      <c r="D19" s="68" t="s">
        <v>61</v>
      </c>
      <c r="E19" s="68" t="n">
        <v>2022</v>
      </c>
      <c r="F19" s="68" t="s">
        <v>797</v>
      </c>
      <c r="G19" s="68" t="n">
        <v>1689</v>
      </c>
      <c r="H19" s="68" t="n">
        <v>2.9</v>
      </c>
    </row>
    <row r="20" customFormat="false" ht="14.25" hidden="false" customHeight="true" outlineLevel="0" collapsed="false">
      <c r="A20" s="68" t="s">
        <v>1349</v>
      </c>
      <c r="B20" s="68" t="n">
        <v>1847</v>
      </c>
      <c r="C20" s="68" t="s">
        <v>55</v>
      </c>
      <c r="D20" s="68" t="s">
        <v>16</v>
      </c>
      <c r="E20" s="68" t="n">
        <v>2022</v>
      </c>
      <c r="F20" s="68" t="s">
        <v>797</v>
      </c>
      <c r="G20" s="68" t="n">
        <v>11537</v>
      </c>
      <c r="H20" s="68" t="n">
        <v>0.8</v>
      </c>
    </row>
    <row r="21" customFormat="false" ht="14.25" hidden="false" customHeight="true" outlineLevel="0" collapsed="false">
      <c r="A21" s="68" t="s">
        <v>1349</v>
      </c>
      <c r="B21" s="68" t="n">
        <v>1848</v>
      </c>
      <c r="C21" s="68" t="s">
        <v>39</v>
      </c>
      <c r="D21" s="68" t="s">
        <v>64</v>
      </c>
      <c r="E21" s="68" t="n">
        <v>2022</v>
      </c>
      <c r="F21" s="68" t="s">
        <v>797</v>
      </c>
      <c r="G21" s="68" t="n">
        <v>9554</v>
      </c>
      <c r="H21" s="68" t="n">
        <v>3.5</v>
      </c>
    </row>
    <row r="22" customFormat="false" ht="14.25" hidden="false" customHeight="true" outlineLevel="0" collapsed="false">
      <c r="A22" s="68" t="s">
        <v>1349</v>
      </c>
      <c r="B22" s="68" t="n">
        <v>1849</v>
      </c>
      <c r="C22" s="68" t="s">
        <v>39</v>
      </c>
      <c r="D22" s="68" t="s">
        <v>50</v>
      </c>
      <c r="E22" s="68" t="n">
        <v>2022</v>
      </c>
      <c r="F22" s="68" t="s">
        <v>797</v>
      </c>
      <c r="G22" s="68" t="n">
        <v>7874</v>
      </c>
      <c r="H22" s="68" t="n">
        <v>3.8</v>
      </c>
    </row>
    <row r="23" customFormat="false" ht="14.25" hidden="false" customHeight="true" outlineLevel="0" collapsed="false">
      <c r="A23" s="68" t="s">
        <v>1349</v>
      </c>
      <c r="B23" s="68" t="n">
        <v>1850</v>
      </c>
      <c r="C23" s="68" t="s">
        <v>31</v>
      </c>
      <c r="D23" s="68" t="s">
        <v>39</v>
      </c>
      <c r="E23" s="68" t="n">
        <v>2022</v>
      </c>
      <c r="F23" s="68" t="s">
        <v>797</v>
      </c>
      <c r="G23" s="68" t="n">
        <v>861</v>
      </c>
      <c r="H23" s="68" t="n">
        <v>2.3</v>
      </c>
    </row>
    <row r="24" customFormat="false" ht="14.25" hidden="false" customHeight="true" outlineLevel="0" collapsed="false">
      <c r="A24" s="68" t="s">
        <v>1349</v>
      </c>
      <c r="B24" s="68" t="n">
        <v>1851</v>
      </c>
      <c r="C24" s="68" t="s">
        <v>16</v>
      </c>
      <c r="D24" s="68" t="s">
        <v>22</v>
      </c>
      <c r="E24" s="68" t="n">
        <v>2022</v>
      </c>
      <c r="F24" s="68" t="s">
        <v>797</v>
      </c>
      <c r="G24" s="68" t="n">
        <v>10723</v>
      </c>
      <c r="H24" s="68" t="n">
        <v>1.4</v>
      </c>
    </row>
    <row r="25" customFormat="false" ht="14.25" hidden="false" customHeight="true" outlineLevel="0" collapsed="false">
      <c r="A25" s="68" t="s">
        <v>1349</v>
      </c>
      <c r="B25" s="68" t="n">
        <v>1852</v>
      </c>
      <c r="C25" s="68" t="s">
        <v>31</v>
      </c>
      <c r="D25" s="68" t="s">
        <v>22</v>
      </c>
      <c r="E25" s="68" t="n">
        <v>2022</v>
      </c>
      <c r="F25" s="68" t="s">
        <v>797</v>
      </c>
      <c r="G25" s="68" t="n">
        <v>8574</v>
      </c>
      <c r="H25" s="68" t="n">
        <v>3.7</v>
      </c>
    </row>
    <row r="26" customFormat="false" ht="14.25" hidden="false" customHeight="true" outlineLevel="0" collapsed="false">
      <c r="A26" s="68" t="s">
        <v>1349</v>
      </c>
      <c r="B26" s="68" t="n">
        <v>1853</v>
      </c>
      <c r="C26" s="68" t="s">
        <v>35</v>
      </c>
      <c r="D26" s="68" t="s">
        <v>22</v>
      </c>
      <c r="E26" s="68" t="n">
        <v>2022</v>
      </c>
      <c r="F26" s="68" t="s">
        <v>798</v>
      </c>
      <c r="G26" s="68" t="n">
        <v>1803</v>
      </c>
      <c r="H26" s="68" t="n">
        <v>3</v>
      </c>
    </row>
    <row r="27" customFormat="false" ht="14.25" hidden="false" customHeight="true" outlineLevel="0" collapsed="false">
      <c r="A27" s="68" t="s">
        <v>1349</v>
      </c>
      <c r="B27" s="68" t="n">
        <v>1854</v>
      </c>
      <c r="C27" s="68" t="s">
        <v>31</v>
      </c>
      <c r="D27" s="68" t="s">
        <v>22</v>
      </c>
      <c r="E27" s="68" t="n">
        <v>2022</v>
      </c>
      <c r="F27" s="68" t="s">
        <v>798</v>
      </c>
      <c r="G27" s="68" t="n">
        <v>4005</v>
      </c>
      <c r="H27" s="68" t="n">
        <v>0.7</v>
      </c>
    </row>
    <row r="28" customFormat="false" ht="14.25" hidden="false" customHeight="true" outlineLevel="0" collapsed="false">
      <c r="A28" s="68" t="s">
        <v>1349</v>
      </c>
      <c r="B28" s="68" t="n">
        <v>1855</v>
      </c>
      <c r="C28" s="68" t="s">
        <v>35</v>
      </c>
      <c r="D28" s="68" t="s">
        <v>39</v>
      </c>
      <c r="E28" s="68" t="n">
        <v>2022</v>
      </c>
      <c r="F28" s="68" t="s">
        <v>798</v>
      </c>
      <c r="G28" s="68" t="n">
        <v>6955</v>
      </c>
      <c r="H28" s="68" t="n">
        <v>4.2</v>
      </c>
    </row>
    <row r="29" customFormat="false" ht="14.25" hidden="false" customHeight="true" outlineLevel="0" collapsed="false">
      <c r="A29" s="68" t="s">
        <v>1349</v>
      </c>
      <c r="B29" s="68" t="n">
        <v>1856</v>
      </c>
      <c r="C29" s="68" t="s">
        <v>50</v>
      </c>
      <c r="D29" s="68" t="s">
        <v>61</v>
      </c>
      <c r="E29" s="68" t="n">
        <v>2022</v>
      </c>
      <c r="F29" s="68" t="s">
        <v>798</v>
      </c>
      <c r="G29" s="68" t="n">
        <v>6320</v>
      </c>
      <c r="H29" s="68" t="n">
        <v>1.4</v>
      </c>
    </row>
    <row r="30" customFormat="false" ht="14.25" hidden="false" customHeight="true" outlineLevel="0" collapsed="false">
      <c r="A30" s="68" t="s">
        <v>1349</v>
      </c>
      <c r="B30" s="68" t="n">
        <v>1857</v>
      </c>
      <c r="C30" s="68" t="s">
        <v>39</v>
      </c>
      <c r="D30" s="68" t="s">
        <v>55</v>
      </c>
      <c r="E30" s="68" t="n">
        <v>2022</v>
      </c>
      <c r="F30" s="68" t="s">
        <v>798</v>
      </c>
      <c r="G30" s="68" t="n">
        <v>9865</v>
      </c>
      <c r="H30" s="68" t="n">
        <v>3.9</v>
      </c>
    </row>
    <row r="31" customFormat="false" ht="14.25" hidden="false" customHeight="true" outlineLevel="0" collapsed="false">
      <c r="A31" s="68" t="s">
        <v>1349</v>
      </c>
      <c r="B31" s="68" t="n">
        <v>1858</v>
      </c>
      <c r="C31" s="68" t="s">
        <v>35</v>
      </c>
      <c r="D31" s="68" t="s">
        <v>39</v>
      </c>
      <c r="E31" s="68" t="n">
        <v>2022</v>
      </c>
      <c r="F31" s="68" t="s">
        <v>798</v>
      </c>
      <c r="G31" s="68" t="n">
        <v>5971</v>
      </c>
      <c r="H31" s="68" t="n">
        <v>2.7</v>
      </c>
    </row>
    <row r="32" customFormat="false" ht="14.25" hidden="false" customHeight="true" outlineLevel="0" collapsed="false">
      <c r="A32" s="68" t="s">
        <v>1349</v>
      </c>
      <c r="B32" s="68" t="n">
        <v>1859</v>
      </c>
      <c r="C32" s="68" t="s">
        <v>46</v>
      </c>
      <c r="D32" s="68" t="s">
        <v>22</v>
      </c>
      <c r="E32" s="68" t="n">
        <v>2022</v>
      </c>
      <c r="F32" s="68" t="s">
        <v>798</v>
      </c>
      <c r="G32" s="68" t="n">
        <v>1754</v>
      </c>
      <c r="H32" s="68" t="n">
        <v>2.9</v>
      </c>
    </row>
    <row r="33" customFormat="false" ht="14.25" hidden="false" customHeight="true" outlineLevel="0" collapsed="false">
      <c r="A33" s="68" t="s">
        <v>1349</v>
      </c>
      <c r="B33" s="68" t="n">
        <v>1860</v>
      </c>
      <c r="C33" s="68" t="s">
        <v>64</v>
      </c>
      <c r="D33" s="68" t="s">
        <v>35</v>
      </c>
      <c r="E33" s="68" t="n">
        <v>2022</v>
      </c>
      <c r="F33" s="68" t="s">
        <v>798</v>
      </c>
      <c r="G33" s="68" t="n">
        <v>1257</v>
      </c>
      <c r="H33" s="68" t="n">
        <v>1.4</v>
      </c>
    </row>
    <row r="34" customFormat="false" ht="14.25" hidden="false" customHeight="true" outlineLevel="0" collapsed="false">
      <c r="A34" s="68" t="s">
        <v>1349</v>
      </c>
      <c r="B34" s="68" t="n">
        <v>1861</v>
      </c>
      <c r="C34" s="68" t="s">
        <v>31</v>
      </c>
      <c r="D34" s="68" t="s">
        <v>27</v>
      </c>
      <c r="E34" s="68" t="n">
        <v>2022</v>
      </c>
      <c r="F34" s="68" t="s">
        <v>798</v>
      </c>
      <c r="G34" s="68" t="n">
        <v>8805</v>
      </c>
      <c r="H34" s="68" t="n">
        <v>2.4</v>
      </c>
    </row>
    <row r="35" customFormat="false" ht="14.25" hidden="false" customHeight="true" outlineLevel="0" collapsed="false">
      <c r="A35" s="68" t="s">
        <v>1349</v>
      </c>
      <c r="B35" s="68" t="n">
        <v>1862</v>
      </c>
      <c r="C35" s="68" t="s">
        <v>42</v>
      </c>
      <c r="D35" s="68" t="s">
        <v>57</v>
      </c>
      <c r="E35" s="68" t="n">
        <v>2022</v>
      </c>
      <c r="F35" s="68" t="s">
        <v>798</v>
      </c>
      <c r="G35" s="68" t="n">
        <v>10508</v>
      </c>
      <c r="H35" s="68" t="n">
        <v>3.5</v>
      </c>
    </row>
    <row r="36" customFormat="false" ht="14.25" hidden="false" customHeight="true" outlineLevel="0" collapsed="false">
      <c r="A36" s="68" t="s">
        <v>1349</v>
      </c>
      <c r="B36" s="68" t="n">
        <v>1863</v>
      </c>
      <c r="C36" s="68" t="s">
        <v>31</v>
      </c>
      <c r="D36" s="68" t="s">
        <v>67</v>
      </c>
      <c r="E36" s="68" t="n">
        <v>2022</v>
      </c>
      <c r="F36" s="68" t="s">
        <v>798</v>
      </c>
      <c r="G36" s="68" t="n">
        <v>8405</v>
      </c>
      <c r="H36" s="68" t="n">
        <v>2.5</v>
      </c>
    </row>
    <row r="37" customFormat="false" ht="14.25" hidden="false" customHeight="true" outlineLevel="0" collapsed="false">
      <c r="A37" s="68" t="s">
        <v>1349</v>
      </c>
      <c r="B37" s="68" t="n">
        <v>1864</v>
      </c>
      <c r="C37" s="68" t="s">
        <v>64</v>
      </c>
      <c r="D37" s="68" t="s">
        <v>22</v>
      </c>
      <c r="E37" s="68" t="n">
        <v>2022</v>
      </c>
      <c r="F37" s="68" t="s">
        <v>798</v>
      </c>
      <c r="G37" s="68" t="n">
        <v>5949</v>
      </c>
      <c r="H37" s="68" t="n">
        <v>3.1</v>
      </c>
    </row>
    <row r="38" customFormat="false" ht="14.25" hidden="false" customHeight="true" outlineLevel="0" collapsed="false">
      <c r="A38" s="68" t="s">
        <v>1349</v>
      </c>
      <c r="B38" s="68" t="n">
        <v>1865</v>
      </c>
      <c r="C38" s="68" t="s">
        <v>57</v>
      </c>
      <c r="D38" s="68" t="s">
        <v>61</v>
      </c>
      <c r="E38" s="68" t="n">
        <v>2022</v>
      </c>
      <c r="F38" s="68" t="s">
        <v>798</v>
      </c>
      <c r="G38" s="68" t="n">
        <v>10692</v>
      </c>
      <c r="H38" s="68" t="n">
        <v>0.5</v>
      </c>
    </row>
    <row r="39" customFormat="false" ht="14.25" hidden="false" customHeight="true" outlineLevel="0" collapsed="false">
      <c r="A39" s="68" t="s">
        <v>1349</v>
      </c>
      <c r="B39" s="68" t="n">
        <v>1866</v>
      </c>
      <c r="C39" s="68" t="s">
        <v>27</v>
      </c>
      <c r="D39" s="68" t="s">
        <v>46</v>
      </c>
      <c r="E39" s="68" t="n">
        <v>2022</v>
      </c>
      <c r="F39" s="68" t="s">
        <v>798</v>
      </c>
      <c r="G39" s="68" t="n">
        <v>2738</v>
      </c>
      <c r="H39" s="68" t="n">
        <v>2.9</v>
      </c>
    </row>
    <row r="40" customFormat="false" ht="14.25" hidden="false" customHeight="true" outlineLevel="0" collapsed="false">
      <c r="A40" s="68" t="s">
        <v>1349</v>
      </c>
      <c r="B40" s="68" t="n">
        <v>1867</v>
      </c>
      <c r="C40" s="68" t="s">
        <v>31</v>
      </c>
      <c r="D40" s="68" t="s">
        <v>22</v>
      </c>
      <c r="E40" s="68" t="n">
        <v>2022</v>
      </c>
      <c r="F40" s="68" t="s">
        <v>798</v>
      </c>
      <c r="G40" s="68" t="n">
        <v>3288</v>
      </c>
      <c r="H40" s="68" t="n">
        <v>1.3</v>
      </c>
    </row>
    <row r="41" customFormat="false" ht="14.25" hidden="false" customHeight="true" outlineLevel="0" collapsed="false">
      <c r="A41" s="68" t="s">
        <v>1349</v>
      </c>
      <c r="B41" s="68" t="n">
        <v>1868</v>
      </c>
      <c r="C41" s="68" t="s">
        <v>42</v>
      </c>
      <c r="D41" s="68" t="s">
        <v>53</v>
      </c>
      <c r="E41" s="68" t="n">
        <v>2022</v>
      </c>
      <c r="F41" s="68" t="s">
        <v>798</v>
      </c>
      <c r="G41" s="68" t="n">
        <v>11920</v>
      </c>
      <c r="H41" s="68" t="n">
        <v>4.4</v>
      </c>
    </row>
    <row r="42" customFormat="false" ht="14.25" hidden="false" customHeight="true" outlineLevel="0" collapsed="false">
      <c r="A42" s="68" t="s">
        <v>1349</v>
      </c>
      <c r="B42" s="68" t="n">
        <v>1869</v>
      </c>
      <c r="C42" s="68" t="s">
        <v>64</v>
      </c>
      <c r="D42" s="68" t="s">
        <v>35</v>
      </c>
      <c r="E42" s="68" t="n">
        <v>2023</v>
      </c>
      <c r="F42" s="68" t="s">
        <v>797</v>
      </c>
      <c r="G42" s="68" t="n">
        <v>2371</v>
      </c>
      <c r="H42" s="68" t="n">
        <v>4.2</v>
      </c>
    </row>
    <row r="43" customFormat="false" ht="14.25" hidden="false" customHeight="true" outlineLevel="0" collapsed="false">
      <c r="A43" s="68" t="s">
        <v>1349</v>
      </c>
      <c r="B43" s="68" t="n">
        <v>1870</v>
      </c>
      <c r="C43" s="68" t="s">
        <v>53</v>
      </c>
      <c r="D43" s="68" t="s">
        <v>46</v>
      </c>
      <c r="E43" s="68" t="n">
        <v>2023</v>
      </c>
      <c r="F43" s="68" t="s">
        <v>797</v>
      </c>
      <c r="G43" s="68" t="n">
        <v>11318</v>
      </c>
      <c r="H43" s="68" t="n">
        <v>3.1</v>
      </c>
    </row>
    <row r="44" customFormat="false" ht="14.25" hidden="false" customHeight="true" outlineLevel="0" collapsed="false">
      <c r="A44" s="68" t="s">
        <v>1349</v>
      </c>
      <c r="B44" s="68" t="n">
        <v>1871</v>
      </c>
      <c r="C44" s="68" t="s">
        <v>27</v>
      </c>
      <c r="D44" s="68" t="s">
        <v>53</v>
      </c>
      <c r="E44" s="68" t="n">
        <v>2023</v>
      </c>
      <c r="F44" s="68" t="s">
        <v>797</v>
      </c>
      <c r="G44" s="68" t="n">
        <v>8264</v>
      </c>
      <c r="H44" s="68" t="n">
        <v>2.3</v>
      </c>
    </row>
    <row r="45" customFormat="false" ht="14.25" hidden="false" customHeight="true" outlineLevel="0" collapsed="false">
      <c r="A45" s="68" t="s">
        <v>1349</v>
      </c>
      <c r="B45" s="68" t="n">
        <v>1872</v>
      </c>
      <c r="C45" s="68" t="s">
        <v>53</v>
      </c>
      <c r="D45" s="68" t="s">
        <v>50</v>
      </c>
      <c r="E45" s="68" t="n">
        <v>2023</v>
      </c>
      <c r="F45" s="68" t="s">
        <v>797</v>
      </c>
      <c r="G45" s="68" t="n">
        <v>11383</v>
      </c>
      <c r="H45" s="68" t="n">
        <v>3.2</v>
      </c>
    </row>
    <row r="46" customFormat="false" ht="14.25" hidden="false" customHeight="true" outlineLevel="0" collapsed="false">
      <c r="A46" s="68" t="s">
        <v>1349</v>
      </c>
      <c r="B46" s="68" t="n">
        <v>1873</v>
      </c>
      <c r="C46" s="68" t="s">
        <v>35</v>
      </c>
      <c r="D46" s="68" t="s">
        <v>31</v>
      </c>
      <c r="E46" s="68" t="n">
        <v>2023</v>
      </c>
      <c r="F46" s="68" t="s">
        <v>797</v>
      </c>
      <c r="G46" s="68" t="n">
        <v>1446</v>
      </c>
      <c r="H46" s="68" t="n">
        <v>1.8</v>
      </c>
    </row>
    <row r="47" customFormat="false" ht="14.25" hidden="false" customHeight="true" outlineLevel="0" collapsed="false">
      <c r="A47" s="68" t="s">
        <v>1349</v>
      </c>
      <c r="B47" s="68" t="n">
        <v>1874</v>
      </c>
      <c r="C47" s="68" t="s">
        <v>55</v>
      </c>
      <c r="D47" s="68" t="s">
        <v>31</v>
      </c>
      <c r="E47" s="68" t="n">
        <v>2023</v>
      </c>
      <c r="F47" s="68" t="s">
        <v>797</v>
      </c>
      <c r="G47" s="68" t="n">
        <v>215</v>
      </c>
      <c r="H47" s="68" t="n">
        <v>5.2</v>
      </c>
    </row>
    <row r="48" customFormat="false" ht="14.25" hidden="false" customHeight="true" outlineLevel="0" collapsed="false">
      <c r="A48" s="68" t="s">
        <v>1349</v>
      </c>
      <c r="B48" s="68" t="n">
        <v>1875</v>
      </c>
      <c r="C48" s="68" t="s">
        <v>22</v>
      </c>
      <c r="D48" s="68" t="s">
        <v>67</v>
      </c>
      <c r="E48" s="68" t="n">
        <v>2023</v>
      </c>
      <c r="F48" s="68" t="s">
        <v>797</v>
      </c>
      <c r="G48" s="68" t="n">
        <v>8220</v>
      </c>
      <c r="H48" s="68" t="n">
        <v>3.7</v>
      </c>
    </row>
    <row r="49" customFormat="false" ht="14.25" hidden="false" customHeight="true" outlineLevel="0" collapsed="false">
      <c r="A49" s="68" t="s">
        <v>1349</v>
      </c>
      <c r="B49" s="68" t="n">
        <v>1876</v>
      </c>
      <c r="C49" s="68" t="s">
        <v>31</v>
      </c>
      <c r="D49" s="68" t="s">
        <v>57</v>
      </c>
      <c r="E49" s="68" t="n">
        <v>2023</v>
      </c>
      <c r="F49" s="68" t="s">
        <v>797</v>
      </c>
      <c r="G49" s="68" t="n">
        <v>8853</v>
      </c>
      <c r="H49" s="68" t="n">
        <v>1.7</v>
      </c>
    </row>
    <row r="50" customFormat="false" ht="14.25" hidden="false" customHeight="true" outlineLevel="0" collapsed="false">
      <c r="A50" s="68" t="s">
        <v>1349</v>
      </c>
      <c r="B50" s="68" t="n">
        <v>1877</v>
      </c>
      <c r="C50" s="68" t="s">
        <v>27</v>
      </c>
      <c r="D50" s="68" t="s">
        <v>39</v>
      </c>
      <c r="E50" s="68" t="n">
        <v>2023</v>
      </c>
      <c r="F50" s="68" t="s">
        <v>797</v>
      </c>
      <c r="G50" s="68" t="n">
        <v>4441</v>
      </c>
      <c r="H50" s="68" t="n">
        <v>2.2</v>
      </c>
    </row>
    <row r="51" customFormat="false" ht="14.25" hidden="false" customHeight="true" outlineLevel="0" collapsed="false">
      <c r="A51" s="68" t="s">
        <v>1349</v>
      </c>
      <c r="B51" s="68" t="n">
        <v>1878</v>
      </c>
      <c r="C51" s="68" t="s">
        <v>50</v>
      </c>
      <c r="D51" s="68" t="s">
        <v>64</v>
      </c>
      <c r="E51" s="68" t="n">
        <v>2023</v>
      </c>
      <c r="F51" s="68" t="s">
        <v>797</v>
      </c>
      <c r="G51" s="68" t="n">
        <v>9614</v>
      </c>
      <c r="H51" s="68" t="n">
        <v>2.3</v>
      </c>
    </row>
    <row r="52" customFormat="false" ht="14.25" hidden="false" customHeight="true" outlineLevel="0" collapsed="false">
      <c r="A52" s="68" t="s">
        <v>1349</v>
      </c>
      <c r="B52" s="68" t="n">
        <v>1879</v>
      </c>
      <c r="C52" s="68" t="s">
        <v>42</v>
      </c>
      <c r="D52" s="68" t="s">
        <v>16</v>
      </c>
      <c r="E52" s="68" t="n">
        <v>2023</v>
      </c>
      <c r="F52" s="68" t="s">
        <v>797</v>
      </c>
      <c r="G52" s="68" t="n">
        <v>1027</v>
      </c>
      <c r="H52" s="68" t="n">
        <v>3.3</v>
      </c>
    </row>
    <row r="53" customFormat="false" ht="14.25" hidden="false" customHeight="true" outlineLevel="0" collapsed="false">
      <c r="A53" s="68" t="s">
        <v>1349</v>
      </c>
      <c r="B53" s="68" t="n">
        <v>1880</v>
      </c>
      <c r="C53" s="68" t="s">
        <v>61</v>
      </c>
      <c r="D53" s="68" t="s">
        <v>31</v>
      </c>
      <c r="E53" s="68" t="n">
        <v>2023</v>
      </c>
      <c r="F53" s="68" t="s">
        <v>797</v>
      </c>
      <c r="G53" s="68" t="n">
        <v>378</v>
      </c>
      <c r="H53" s="68" t="n">
        <v>3.2</v>
      </c>
    </row>
    <row r="54" customFormat="false" ht="14.25" hidden="false" customHeight="true" outlineLevel="0" collapsed="false">
      <c r="A54" s="68" t="s">
        <v>1349</v>
      </c>
      <c r="B54" s="68" t="n">
        <v>1881</v>
      </c>
      <c r="C54" s="68" t="s">
        <v>53</v>
      </c>
      <c r="D54" s="68" t="s">
        <v>35</v>
      </c>
      <c r="E54" s="68" t="n">
        <v>2023</v>
      </c>
      <c r="F54" s="68" t="s">
        <v>797</v>
      </c>
      <c r="G54" s="68" t="n">
        <v>547</v>
      </c>
      <c r="H54" s="68" t="n">
        <v>1.6</v>
      </c>
    </row>
    <row r="55" customFormat="false" ht="14.25" hidden="false" customHeight="true" outlineLevel="0" collapsed="false">
      <c r="A55" s="68" t="s">
        <v>1349</v>
      </c>
      <c r="B55" s="68" t="n">
        <v>1882</v>
      </c>
      <c r="C55" s="68" t="s">
        <v>64</v>
      </c>
      <c r="D55" s="68" t="s">
        <v>31</v>
      </c>
      <c r="E55" s="68" t="n">
        <v>2023</v>
      </c>
      <c r="F55" s="68" t="s">
        <v>797</v>
      </c>
      <c r="G55" s="68" t="n">
        <v>8369</v>
      </c>
      <c r="H55" s="68" t="n">
        <v>2.9</v>
      </c>
    </row>
    <row r="56" customFormat="false" ht="14.25" hidden="false" customHeight="true" outlineLevel="0" collapsed="false">
      <c r="A56" s="68" t="s">
        <v>1349</v>
      </c>
      <c r="B56" s="68" t="n">
        <v>1883</v>
      </c>
      <c r="C56" s="68" t="s">
        <v>35</v>
      </c>
      <c r="D56" s="68" t="s">
        <v>22</v>
      </c>
      <c r="E56" s="68" t="n">
        <v>2023</v>
      </c>
      <c r="F56" s="68" t="s">
        <v>797</v>
      </c>
      <c r="G56" s="68" t="n">
        <v>4711</v>
      </c>
      <c r="H56" s="68" t="n">
        <v>2</v>
      </c>
    </row>
    <row r="57" customFormat="false" ht="14.25" hidden="false" customHeight="true" outlineLevel="0" collapsed="false">
      <c r="A57" s="68" t="s">
        <v>1349</v>
      </c>
      <c r="B57" s="68" t="n">
        <v>1884</v>
      </c>
      <c r="C57" s="68" t="s">
        <v>42</v>
      </c>
      <c r="D57" s="68" t="s">
        <v>35</v>
      </c>
      <c r="E57" s="68" t="n">
        <v>2023</v>
      </c>
      <c r="F57" s="68" t="s">
        <v>805</v>
      </c>
      <c r="G57" s="68" t="n">
        <v>2222</v>
      </c>
      <c r="H57" s="68" t="n">
        <v>2.5</v>
      </c>
    </row>
    <row r="58" customFormat="false" ht="14.25" hidden="false" customHeight="true" outlineLevel="0" collapsed="false">
      <c r="A58" s="68" t="s">
        <v>1349</v>
      </c>
      <c r="B58" s="68" t="n">
        <v>1885</v>
      </c>
      <c r="C58" s="68" t="s">
        <v>53</v>
      </c>
      <c r="D58" s="68" t="s">
        <v>55</v>
      </c>
      <c r="E58" s="68" t="n">
        <v>2023</v>
      </c>
      <c r="F58" s="68" t="s">
        <v>805</v>
      </c>
      <c r="G58" s="68" t="n">
        <v>7819</v>
      </c>
      <c r="H58" s="68" t="n">
        <v>3.6</v>
      </c>
    </row>
    <row r="59" customFormat="false" ht="14.25" hidden="false" customHeight="true" outlineLevel="0" collapsed="false">
      <c r="A59" s="68" t="s">
        <v>1349</v>
      </c>
      <c r="B59" s="68" t="n">
        <v>1886</v>
      </c>
      <c r="C59" s="68" t="s">
        <v>64</v>
      </c>
      <c r="D59" s="68" t="s">
        <v>57</v>
      </c>
      <c r="E59" s="68" t="n">
        <v>2023</v>
      </c>
      <c r="F59" s="68" t="s">
        <v>805</v>
      </c>
      <c r="G59" s="68" t="n">
        <v>6144</v>
      </c>
      <c r="H59" s="68" t="n">
        <v>3.7</v>
      </c>
    </row>
    <row r="60" customFormat="false" ht="14.25" hidden="false" customHeight="true" outlineLevel="0" collapsed="false">
      <c r="A60" s="68" t="s">
        <v>1349</v>
      </c>
      <c r="B60" s="68" t="n">
        <v>1887</v>
      </c>
      <c r="C60" s="68" t="s">
        <v>64</v>
      </c>
      <c r="D60" s="68" t="s">
        <v>57</v>
      </c>
      <c r="E60" s="68" t="n">
        <v>2023</v>
      </c>
      <c r="F60" s="68" t="s">
        <v>805</v>
      </c>
      <c r="G60" s="68" t="n">
        <v>854</v>
      </c>
      <c r="H60" s="68" t="n">
        <v>2</v>
      </c>
    </row>
    <row r="61" customFormat="false" ht="14.25" hidden="false" customHeight="true" outlineLevel="0" collapsed="false">
      <c r="A61" s="68" t="s">
        <v>1349</v>
      </c>
      <c r="B61" s="68" t="n">
        <v>1888</v>
      </c>
      <c r="C61" s="68" t="s">
        <v>27</v>
      </c>
      <c r="D61" s="68" t="s">
        <v>53</v>
      </c>
      <c r="E61" s="68" t="n">
        <v>2023</v>
      </c>
      <c r="F61" s="68" t="s">
        <v>805</v>
      </c>
      <c r="G61" s="68" t="n">
        <v>6474</v>
      </c>
      <c r="H61" s="68" t="n">
        <v>2.5</v>
      </c>
    </row>
    <row r="62" customFormat="false" ht="14.25" hidden="false" customHeight="true" outlineLevel="0" collapsed="false">
      <c r="A62" s="68" t="s">
        <v>1349</v>
      </c>
      <c r="B62" s="68" t="n">
        <v>1889</v>
      </c>
      <c r="C62" s="68" t="s">
        <v>57</v>
      </c>
      <c r="D62" s="68" t="s">
        <v>22</v>
      </c>
      <c r="E62" s="68" t="n">
        <v>2023</v>
      </c>
      <c r="F62" s="68" t="s">
        <v>805</v>
      </c>
      <c r="G62" s="68" t="n">
        <v>8874</v>
      </c>
      <c r="H62" s="68" t="n">
        <v>2.5</v>
      </c>
    </row>
    <row r="63" customFormat="false" ht="14.25" hidden="false" customHeight="true" outlineLevel="0" collapsed="false">
      <c r="A63" s="68" t="s">
        <v>1349</v>
      </c>
      <c r="B63" s="68" t="n">
        <v>1890</v>
      </c>
      <c r="C63" s="68" t="s">
        <v>42</v>
      </c>
      <c r="D63" s="68" t="s">
        <v>22</v>
      </c>
      <c r="E63" s="68" t="n">
        <v>2023</v>
      </c>
      <c r="F63" s="68" t="s">
        <v>805</v>
      </c>
      <c r="G63" s="68" t="n">
        <v>6214</v>
      </c>
      <c r="H63" s="68" t="n">
        <v>0.6</v>
      </c>
    </row>
    <row r="64" customFormat="false" ht="14.25" hidden="false" customHeight="true" outlineLevel="0" collapsed="false">
      <c r="A64" s="68" t="s">
        <v>1349</v>
      </c>
      <c r="B64" s="68" t="n">
        <v>1891</v>
      </c>
      <c r="C64" s="68" t="s">
        <v>31</v>
      </c>
      <c r="D64" s="68" t="s">
        <v>42</v>
      </c>
      <c r="E64" s="68" t="n">
        <v>2023</v>
      </c>
      <c r="F64" s="68" t="s">
        <v>805</v>
      </c>
      <c r="G64" s="68" t="n">
        <v>7366</v>
      </c>
      <c r="H64" s="68" t="n">
        <v>2.6</v>
      </c>
    </row>
    <row r="65" customFormat="false" ht="14.25" hidden="false" customHeight="true" outlineLevel="0" collapsed="false">
      <c r="A65" s="68" t="s">
        <v>1349</v>
      </c>
      <c r="B65" s="68" t="n">
        <v>1892</v>
      </c>
      <c r="C65" s="68" t="s">
        <v>39</v>
      </c>
      <c r="D65" s="68" t="s">
        <v>35</v>
      </c>
      <c r="E65" s="68" t="n">
        <v>2023</v>
      </c>
      <c r="F65" s="68" t="s">
        <v>805</v>
      </c>
      <c r="G65" s="68" t="n">
        <v>10087</v>
      </c>
      <c r="H65" s="68" t="n">
        <v>3</v>
      </c>
    </row>
    <row r="66" customFormat="false" ht="14.25" hidden="false" customHeight="true" outlineLevel="0" collapsed="false">
      <c r="A66" s="68" t="s">
        <v>1349</v>
      </c>
      <c r="B66" s="68" t="n">
        <v>1893</v>
      </c>
      <c r="C66" s="68" t="s">
        <v>42</v>
      </c>
      <c r="D66" s="68" t="s">
        <v>64</v>
      </c>
      <c r="E66" s="68" t="n">
        <v>2023</v>
      </c>
      <c r="F66" s="68" t="s">
        <v>805</v>
      </c>
      <c r="G66" s="68" t="n">
        <v>10201</v>
      </c>
      <c r="H66" s="68" t="n">
        <v>4.1</v>
      </c>
    </row>
    <row r="67" customFormat="false" ht="14.25" hidden="false" customHeight="true" outlineLevel="0" collapsed="false">
      <c r="A67" s="68" t="s">
        <v>1349</v>
      </c>
      <c r="B67" s="68" t="n">
        <v>1894</v>
      </c>
      <c r="C67" s="68" t="s">
        <v>61</v>
      </c>
      <c r="D67" s="68" t="s">
        <v>57</v>
      </c>
      <c r="E67" s="68" t="n">
        <v>2023</v>
      </c>
      <c r="F67" s="68" t="s">
        <v>805</v>
      </c>
      <c r="G67" s="68" t="n">
        <v>4430</v>
      </c>
      <c r="H67" s="68" t="n">
        <v>2.6</v>
      </c>
    </row>
    <row r="68" customFormat="false" ht="14.25" hidden="false" customHeight="true" outlineLevel="0" collapsed="false">
      <c r="A68" s="68" t="s">
        <v>1349</v>
      </c>
      <c r="B68" s="68" t="n">
        <v>1895</v>
      </c>
      <c r="C68" s="68" t="s">
        <v>55</v>
      </c>
      <c r="D68" s="68" t="s">
        <v>31</v>
      </c>
      <c r="E68" s="68" t="n">
        <v>2023</v>
      </c>
      <c r="F68" s="68" t="s">
        <v>805</v>
      </c>
      <c r="G68" s="68" t="n">
        <v>4032</v>
      </c>
      <c r="H68" s="68" t="n">
        <v>4</v>
      </c>
    </row>
    <row r="69" customFormat="false" ht="14.25" hidden="false" customHeight="true" outlineLevel="0" collapsed="false">
      <c r="A69" s="68" t="s">
        <v>1349</v>
      </c>
      <c r="B69" s="68" t="n">
        <v>1896</v>
      </c>
      <c r="C69" s="68" t="s">
        <v>67</v>
      </c>
      <c r="D69" s="68" t="s">
        <v>61</v>
      </c>
      <c r="E69" s="68" t="n">
        <v>2023</v>
      </c>
      <c r="F69" s="68" t="s">
        <v>805</v>
      </c>
      <c r="G69" s="68" t="n">
        <v>1203</v>
      </c>
      <c r="H69" s="68" t="n">
        <v>1.7</v>
      </c>
    </row>
    <row r="70" customFormat="false" ht="14.25" hidden="false" customHeight="true" outlineLevel="0" collapsed="false">
      <c r="A70" s="68" t="s">
        <v>1349</v>
      </c>
      <c r="B70" s="68" t="n">
        <v>1897</v>
      </c>
      <c r="C70" s="68" t="s">
        <v>61</v>
      </c>
      <c r="D70" s="68" t="s">
        <v>57</v>
      </c>
      <c r="E70" s="68" t="n">
        <v>2023</v>
      </c>
      <c r="F70" s="68" t="s">
        <v>805</v>
      </c>
      <c r="G70" s="68" t="n">
        <v>4745</v>
      </c>
      <c r="H70" s="68" t="n">
        <v>2.5</v>
      </c>
    </row>
    <row r="71" customFormat="false" ht="14.25" hidden="false" customHeight="true" outlineLevel="0" collapsed="false">
      <c r="A71" s="68" t="s">
        <v>1349</v>
      </c>
      <c r="B71" s="68" t="n">
        <v>1898</v>
      </c>
      <c r="C71" s="68" t="s">
        <v>27</v>
      </c>
      <c r="D71" s="68" t="s">
        <v>42</v>
      </c>
      <c r="E71" s="68" t="n">
        <v>2023</v>
      </c>
      <c r="F71" s="68" t="s">
        <v>805</v>
      </c>
      <c r="G71" s="68" t="n">
        <v>4812</v>
      </c>
      <c r="H71" s="68" t="n">
        <v>2</v>
      </c>
    </row>
    <row r="72" customFormat="false" ht="14.25" hidden="false" customHeight="true" outlineLevel="0" collapsed="false">
      <c r="A72" s="68" t="s">
        <v>1349</v>
      </c>
      <c r="B72" s="68" t="n">
        <v>1899</v>
      </c>
      <c r="C72" s="68" t="s">
        <v>31</v>
      </c>
      <c r="D72" s="68" t="s">
        <v>35</v>
      </c>
      <c r="E72" s="68" t="n">
        <v>2023</v>
      </c>
      <c r="F72" s="68" t="s">
        <v>805</v>
      </c>
      <c r="G72" s="68" t="n">
        <v>3473</v>
      </c>
      <c r="H72" s="68" t="n">
        <v>3.9</v>
      </c>
    </row>
    <row r="73" customFormat="false" ht="14.25" hidden="false" customHeight="true" outlineLevel="0" collapsed="false">
      <c r="A73" s="68" t="s">
        <v>1349</v>
      </c>
      <c r="B73" s="68" t="n">
        <v>1900</v>
      </c>
      <c r="C73" s="68" t="s">
        <v>31</v>
      </c>
      <c r="D73" s="68" t="s">
        <v>46</v>
      </c>
      <c r="E73" s="68" t="n">
        <v>2023</v>
      </c>
      <c r="F73" s="68" t="s">
        <v>805</v>
      </c>
      <c r="G73" s="68" t="n">
        <v>5884</v>
      </c>
      <c r="H73" s="68" t="n">
        <v>1.5</v>
      </c>
    </row>
    <row r="74" customFormat="false" ht="14.25" hidden="false" customHeight="true" outlineLevel="0" collapsed="false">
      <c r="A74" s="68" t="s">
        <v>1349</v>
      </c>
      <c r="B74" s="68" t="n">
        <v>1901</v>
      </c>
      <c r="C74" s="68" t="s">
        <v>55</v>
      </c>
      <c r="D74" s="68" t="s">
        <v>64</v>
      </c>
      <c r="E74" s="68" t="n">
        <v>2023</v>
      </c>
      <c r="F74" s="68" t="s">
        <v>805</v>
      </c>
      <c r="G74" s="68" t="n">
        <v>8606</v>
      </c>
      <c r="H74" s="68" t="n">
        <v>4.3</v>
      </c>
    </row>
    <row r="75" customFormat="false" ht="14.25" hidden="false" customHeight="true" outlineLevel="0" collapsed="false">
      <c r="A75" s="68" t="s">
        <v>1349</v>
      </c>
      <c r="B75" s="68" t="n">
        <v>1902</v>
      </c>
      <c r="C75" s="68" t="s">
        <v>55</v>
      </c>
      <c r="D75" s="68" t="s">
        <v>67</v>
      </c>
      <c r="E75" s="68" t="n">
        <v>2023</v>
      </c>
      <c r="F75" s="68" t="s">
        <v>805</v>
      </c>
      <c r="G75" s="68" t="n">
        <v>10430</v>
      </c>
      <c r="H75" s="68" t="n">
        <v>2.1</v>
      </c>
    </row>
    <row r="76" customFormat="false" ht="14.25" hidden="false" customHeight="true" outlineLevel="0" collapsed="false">
      <c r="A76" s="68" t="s">
        <v>1349</v>
      </c>
      <c r="B76" s="68" t="n">
        <v>1903</v>
      </c>
      <c r="C76" s="68" t="s">
        <v>39</v>
      </c>
      <c r="D76" s="68" t="s">
        <v>53</v>
      </c>
      <c r="E76" s="68" t="n">
        <v>2023</v>
      </c>
      <c r="F76" s="68" t="s">
        <v>801</v>
      </c>
      <c r="G76" s="68" t="n">
        <v>10691</v>
      </c>
      <c r="H76" s="68" t="n">
        <v>2.3</v>
      </c>
    </row>
    <row r="77" customFormat="false" ht="14.25" hidden="false" customHeight="true" outlineLevel="0" collapsed="false">
      <c r="A77" s="68" t="s">
        <v>1349</v>
      </c>
      <c r="B77" s="68" t="n">
        <v>1904</v>
      </c>
      <c r="C77" s="68" t="s">
        <v>67</v>
      </c>
      <c r="D77" s="68" t="s">
        <v>39</v>
      </c>
      <c r="E77" s="68" t="n">
        <v>2023</v>
      </c>
      <c r="F77" s="68" t="s">
        <v>801</v>
      </c>
      <c r="G77" s="68" t="n">
        <v>2821</v>
      </c>
      <c r="H77" s="68" t="n">
        <v>3.6</v>
      </c>
    </row>
    <row r="78" customFormat="false" ht="14.25" hidden="false" customHeight="true" outlineLevel="0" collapsed="false">
      <c r="A78" s="68" t="s">
        <v>1349</v>
      </c>
      <c r="B78" s="68" t="n">
        <v>1905</v>
      </c>
      <c r="C78" s="68" t="s">
        <v>53</v>
      </c>
      <c r="D78" s="68" t="s">
        <v>64</v>
      </c>
      <c r="E78" s="68" t="n">
        <v>2023</v>
      </c>
      <c r="F78" s="68" t="s">
        <v>801</v>
      </c>
      <c r="G78" s="68" t="n">
        <v>8800</v>
      </c>
      <c r="H78" s="68" t="n">
        <v>3.4</v>
      </c>
    </row>
    <row r="79" customFormat="false" ht="14.25" hidden="false" customHeight="true" outlineLevel="0" collapsed="false">
      <c r="A79" s="68" t="s">
        <v>1349</v>
      </c>
      <c r="B79" s="68" t="n">
        <v>1906</v>
      </c>
      <c r="C79" s="68" t="s">
        <v>39</v>
      </c>
      <c r="D79" s="68" t="s">
        <v>67</v>
      </c>
      <c r="E79" s="68" t="n">
        <v>2023</v>
      </c>
      <c r="F79" s="68" t="s">
        <v>801</v>
      </c>
      <c r="G79" s="68" t="n">
        <v>1827</v>
      </c>
      <c r="H79" s="68" t="n">
        <v>3.3</v>
      </c>
    </row>
    <row r="80" customFormat="false" ht="14.25" hidden="false" customHeight="true" outlineLevel="0" collapsed="false">
      <c r="A80" s="68" t="s">
        <v>1349</v>
      </c>
      <c r="B80" s="68" t="n">
        <v>1907</v>
      </c>
      <c r="C80" s="68" t="s">
        <v>50</v>
      </c>
      <c r="D80" s="68" t="s">
        <v>35</v>
      </c>
      <c r="E80" s="68" t="n">
        <v>2023</v>
      </c>
      <c r="F80" s="68" t="s">
        <v>801</v>
      </c>
      <c r="G80" s="68" t="n">
        <v>2792</v>
      </c>
      <c r="H80" s="68" t="n">
        <v>0.8</v>
      </c>
    </row>
    <row r="81" customFormat="false" ht="14.25" hidden="false" customHeight="true" outlineLevel="0" collapsed="false">
      <c r="A81" s="68" t="s">
        <v>1349</v>
      </c>
      <c r="B81" s="68" t="n">
        <v>1908</v>
      </c>
      <c r="C81" s="68" t="s">
        <v>16</v>
      </c>
      <c r="D81" s="68" t="s">
        <v>57</v>
      </c>
      <c r="E81" s="68" t="n">
        <v>2023</v>
      </c>
      <c r="F81" s="68" t="s">
        <v>801</v>
      </c>
      <c r="G81" s="68" t="n">
        <v>9728</v>
      </c>
      <c r="H81" s="68" t="n">
        <v>2.4</v>
      </c>
    </row>
    <row r="82" customFormat="false" ht="14.25" hidden="false" customHeight="true" outlineLevel="0" collapsed="false">
      <c r="A82" s="68" t="s">
        <v>1349</v>
      </c>
      <c r="B82" s="68" t="n">
        <v>1909</v>
      </c>
      <c r="C82" s="68" t="s">
        <v>22</v>
      </c>
      <c r="D82" s="68" t="s">
        <v>39</v>
      </c>
      <c r="E82" s="68" t="n">
        <v>2023</v>
      </c>
      <c r="F82" s="68" t="s">
        <v>801</v>
      </c>
      <c r="G82" s="68" t="n">
        <v>7879</v>
      </c>
      <c r="H82" s="68" t="n">
        <v>3.1</v>
      </c>
    </row>
    <row r="83" customFormat="false" ht="14.25" hidden="false" customHeight="true" outlineLevel="0" collapsed="false">
      <c r="A83" s="68" t="s">
        <v>1349</v>
      </c>
      <c r="B83" s="68" t="n">
        <v>1910</v>
      </c>
      <c r="C83" s="68" t="s">
        <v>64</v>
      </c>
      <c r="D83" s="68" t="s">
        <v>61</v>
      </c>
      <c r="E83" s="68" t="n">
        <v>2023</v>
      </c>
      <c r="F83" s="68" t="s">
        <v>801</v>
      </c>
      <c r="G83" s="68" t="n">
        <v>250</v>
      </c>
      <c r="H83" s="68" t="n">
        <v>3</v>
      </c>
    </row>
    <row r="84" customFormat="false" ht="14.25" hidden="false" customHeight="true" outlineLevel="0" collapsed="false">
      <c r="A84" s="68" t="s">
        <v>1349</v>
      </c>
      <c r="B84" s="68" t="n">
        <v>1911</v>
      </c>
      <c r="C84" s="68" t="s">
        <v>46</v>
      </c>
      <c r="D84" s="68" t="s">
        <v>50</v>
      </c>
      <c r="E84" s="68" t="n">
        <v>2023</v>
      </c>
      <c r="F84" s="68" t="s">
        <v>801</v>
      </c>
      <c r="G84" s="68" t="n">
        <v>386</v>
      </c>
      <c r="H84" s="68" t="n">
        <v>4.9</v>
      </c>
    </row>
    <row r="85" customFormat="false" ht="14.25" hidden="false" customHeight="true" outlineLevel="0" collapsed="false">
      <c r="A85" s="68" t="s">
        <v>1349</v>
      </c>
      <c r="B85" s="68" t="n">
        <v>1912</v>
      </c>
      <c r="C85" s="68" t="s">
        <v>55</v>
      </c>
      <c r="D85" s="68" t="s">
        <v>27</v>
      </c>
      <c r="E85" s="68" t="n">
        <v>2023</v>
      </c>
      <c r="F85" s="68" t="s">
        <v>801</v>
      </c>
      <c r="G85" s="68" t="n">
        <v>5198</v>
      </c>
      <c r="H85" s="68" t="n">
        <v>1.1</v>
      </c>
    </row>
    <row r="86" customFormat="false" ht="14.25" hidden="false" customHeight="true" outlineLevel="0" collapsed="false">
      <c r="A86" s="68" t="s">
        <v>1349</v>
      </c>
      <c r="B86" s="68" t="n">
        <v>1913</v>
      </c>
      <c r="C86" s="68" t="s">
        <v>53</v>
      </c>
      <c r="D86" s="68" t="s">
        <v>16</v>
      </c>
      <c r="E86" s="68" t="n">
        <v>2023</v>
      </c>
      <c r="F86" s="68" t="s">
        <v>801</v>
      </c>
      <c r="G86" s="68" t="n">
        <v>786</v>
      </c>
      <c r="H86" s="68" t="n">
        <v>3.3</v>
      </c>
    </row>
    <row r="87" customFormat="false" ht="14.25" hidden="false" customHeight="true" outlineLevel="0" collapsed="false">
      <c r="A87" s="68" t="s">
        <v>1349</v>
      </c>
      <c r="B87" s="68" t="n">
        <v>1914</v>
      </c>
      <c r="C87" s="68" t="s">
        <v>46</v>
      </c>
      <c r="D87" s="68" t="s">
        <v>31</v>
      </c>
      <c r="E87" s="68" t="n">
        <v>2023</v>
      </c>
      <c r="F87" s="68" t="s">
        <v>801</v>
      </c>
      <c r="G87" s="68" t="n">
        <v>10561</v>
      </c>
      <c r="H87" s="68" t="n">
        <v>2.5</v>
      </c>
    </row>
    <row r="88" customFormat="false" ht="14.25" hidden="false" customHeight="true" outlineLevel="0" collapsed="false">
      <c r="A88" s="68" t="s">
        <v>1349</v>
      </c>
      <c r="B88" s="68" t="n">
        <v>1915</v>
      </c>
      <c r="C88" s="68" t="s">
        <v>35</v>
      </c>
      <c r="D88" s="68" t="s">
        <v>57</v>
      </c>
      <c r="E88" s="68" t="n">
        <v>2023</v>
      </c>
      <c r="F88" s="68" t="s">
        <v>801</v>
      </c>
      <c r="G88" s="68" t="n">
        <v>3823</v>
      </c>
      <c r="H88" s="68" t="n">
        <v>2.8</v>
      </c>
    </row>
    <row r="89" customFormat="false" ht="14.25" hidden="false" customHeight="true" outlineLevel="0" collapsed="false">
      <c r="A89" s="68" t="s">
        <v>1349</v>
      </c>
      <c r="B89" s="68" t="n">
        <v>1916</v>
      </c>
      <c r="C89" s="68" t="s">
        <v>53</v>
      </c>
      <c r="D89" s="68" t="s">
        <v>22</v>
      </c>
      <c r="E89" s="68" t="n">
        <v>2023</v>
      </c>
      <c r="F89" s="68" t="s">
        <v>801</v>
      </c>
      <c r="G89" s="68" t="n">
        <v>5687</v>
      </c>
      <c r="H89" s="68" t="n">
        <v>3.1</v>
      </c>
    </row>
    <row r="90" customFormat="false" ht="14.25" hidden="false" customHeight="true" outlineLevel="0" collapsed="false">
      <c r="A90" s="68" t="s">
        <v>1349</v>
      </c>
      <c r="B90" s="68" t="n">
        <v>1917</v>
      </c>
      <c r="C90" s="68" t="s">
        <v>50</v>
      </c>
      <c r="D90" s="68" t="s">
        <v>57</v>
      </c>
      <c r="E90" s="68" t="n">
        <v>2023</v>
      </c>
      <c r="F90" s="68" t="s">
        <v>801</v>
      </c>
      <c r="G90" s="68" t="n">
        <v>1255</v>
      </c>
      <c r="H90" s="68" t="n">
        <v>4.5</v>
      </c>
    </row>
    <row r="91" customFormat="false" ht="14.25" hidden="false" customHeight="true" outlineLevel="0" collapsed="false">
      <c r="A91" s="68" t="s">
        <v>1349</v>
      </c>
      <c r="B91" s="68" t="n">
        <v>1918</v>
      </c>
      <c r="C91" s="68" t="s">
        <v>46</v>
      </c>
      <c r="D91" s="68" t="s">
        <v>50</v>
      </c>
      <c r="E91" s="68" t="n">
        <v>2023</v>
      </c>
      <c r="F91" s="68" t="s">
        <v>801</v>
      </c>
      <c r="G91" s="68" t="n">
        <v>122</v>
      </c>
      <c r="H91" s="68" t="n">
        <v>2</v>
      </c>
    </row>
    <row r="92" customFormat="false" ht="14.25" hidden="false" customHeight="true" outlineLevel="0" collapsed="false">
      <c r="A92" s="68" t="s">
        <v>1349</v>
      </c>
      <c r="B92" s="68" t="n">
        <v>1919</v>
      </c>
      <c r="C92" s="68" t="s">
        <v>42</v>
      </c>
      <c r="D92" s="68" t="s">
        <v>57</v>
      </c>
      <c r="E92" s="68" t="n">
        <v>2024</v>
      </c>
      <c r="F92" s="68" t="s">
        <v>798</v>
      </c>
      <c r="G92" s="68" t="n">
        <v>4544</v>
      </c>
      <c r="H92" s="68" t="n">
        <v>3.4</v>
      </c>
    </row>
    <row r="93" customFormat="false" ht="14.25" hidden="false" customHeight="true" outlineLevel="0" collapsed="false">
      <c r="A93" s="68" t="s">
        <v>1349</v>
      </c>
      <c r="B93" s="68" t="n">
        <v>1920</v>
      </c>
      <c r="C93" s="68" t="s">
        <v>35</v>
      </c>
      <c r="D93" s="68" t="s">
        <v>55</v>
      </c>
      <c r="E93" s="68" t="n">
        <v>2024</v>
      </c>
      <c r="F93" s="68" t="s">
        <v>798</v>
      </c>
      <c r="G93" s="68" t="n">
        <v>1956</v>
      </c>
      <c r="H93" s="68" t="n">
        <v>2.6</v>
      </c>
    </row>
    <row r="94" customFormat="false" ht="14.25" hidden="false" customHeight="true" outlineLevel="0" collapsed="false">
      <c r="A94" s="68" t="s">
        <v>1349</v>
      </c>
      <c r="B94" s="68" t="n">
        <v>1921</v>
      </c>
      <c r="C94" s="68" t="s">
        <v>27</v>
      </c>
      <c r="D94" s="68" t="s">
        <v>39</v>
      </c>
      <c r="E94" s="68" t="n">
        <v>2024</v>
      </c>
      <c r="F94" s="68" t="s">
        <v>798</v>
      </c>
      <c r="G94" s="68" t="n">
        <v>9000</v>
      </c>
      <c r="H94" s="68" t="n">
        <v>2.6</v>
      </c>
    </row>
    <row r="95" customFormat="false" ht="14.25" hidden="false" customHeight="true" outlineLevel="0" collapsed="false">
      <c r="A95" s="68" t="s">
        <v>1349</v>
      </c>
      <c r="B95" s="68" t="n">
        <v>1922</v>
      </c>
      <c r="C95" s="68" t="s">
        <v>35</v>
      </c>
      <c r="D95" s="68" t="s">
        <v>27</v>
      </c>
      <c r="E95" s="68" t="n">
        <v>2024</v>
      </c>
      <c r="F95" s="68" t="s">
        <v>798</v>
      </c>
      <c r="G95" s="68" t="n">
        <v>8846</v>
      </c>
      <c r="H95" s="68" t="n">
        <v>3.5</v>
      </c>
    </row>
    <row r="96" customFormat="false" ht="14.25" hidden="false" customHeight="true" outlineLevel="0" collapsed="false">
      <c r="A96" s="68" t="s">
        <v>1349</v>
      </c>
      <c r="B96" s="68" t="n">
        <v>1923</v>
      </c>
      <c r="C96" s="68" t="s">
        <v>16</v>
      </c>
      <c r="D96" s="68" t="s">
        <v>67</v>
      </c>
      <c r="E96" s="68" t="n">
        <v>2024</v>
      </c>
      <c r="F96" s="68" t="s">
        <v>798</v>
      </c>
      <c r="G96" s="68" t="n">
        <v>2525</v>
      </c>
      <c r="H96" s="68" t="n">
        <v>3.8</v>
      </c>
    </row>
    <row r="97" customFormat="false" ht="14.25" hidden="false" customHeight="true" outlineLevel="0" collapsed="false">
      <c r="A97" s="68" t="s">
        <v>1349</v>
      </c>
      <c r="B97" s="68" t="n">
        <v>1924</v>
      </c>
      <c r="C97" s="68" t="s">
        <v>61</v>
      </c>
      <c r="D97" s="68" t="s">
        <v>64</v>
      </c>
      <c r="E97" s="68" t="n">
        <v>2024</v>
      </c>
      <c r="F97" s="68" t="s">
        <v>798</v>
      </c>
      <c r="G97" s="68" t="n">
        <v>3850</v>
      </c>
      <c r="H97" s="68" t="n">
        <v>4.5</v>
      </c>
    </row>
    <row r="98" customFormat="false" ht="14.25" hidden="false" customHeight="true" outlineLevel="0" collapsed="false">
      <c r="A98" s="68" t="s">
        <v>1349</v>
      </c>
      <c r="B98" s="68" t="n">
        <v>1925</v>
      </c>
      <c r="C98" s="68" t="s">
        <v>64</v>
      </c>
      <c r="D98" s="68" t="s">
        <v>35</v>
      </c>
      <c r="E98" s="68" t="n">
        <v>2024</v>
      </c>
      <c r="F98" s="68" t="s">
        <v>798</v>
      </c>
      <c r="G98" s="68" t="n">
        <v>5523</v>
      </c>
      <c r="H98" s="68" t="n">
        <v>3.2</v>
      </c>
    </row>
    <row r="99" customFormat="false" ht="14.25" hidden="false" customHeight="true" outlineLevel="0" collapsed="false">
      <c r="A99" s="68" t="s">
        <v>1349</v>
      </c>
      <c r="B99" s="68" t="n">
        <v>1926</v>
      </c>
      <c r="C99" s="68" t="s">
        <v>55</v>
      </c>
      <c r="D99" s="68" t="s">
        <v>67</v>
      </c>
      <c r="E99" s="68" t="n">
        <v>2024</v>
      </c>
      <c r="F99" s="68" t="s">
        <v>798</v>
      </c>
      <c r="G99" s="68" t="n">
        <v>3746</v>
      </c>
      <c r="H99" s="68" t="n">
        <v>3.7</v>
      </c>
    </row>
    <row r="100" customFormat="false" ht="14.25" hidden="false" customHeight="true" outlineLevel="0" collapsed="false">
      <c r="A100" s="68" t="s">
        <v>1349</v>
      </c>
      <c r="B100" s="68" t="n">
        <v>1927</v>
      </c>
      <c r="C100" s="68" t="s">
        <v>61</v>
      </c>
      <c r="D100" s="68" t="s">
        <v>64</v>
      </c>
      <c r="E100" s="68" t="n">
        <v>2024</v>
      </c>
      <c r="F100" s="68" t="s">
        <v>798</v>
      </c>
      <c r="G100" s="68" t="n">
        <v>2894</v>
      </c>
      <c r="H100" s="68" t="n">
        <v>1.8</v>
      </c>
    </row>
    <row r="101" customFormat="false" ht="14.25" hidden="false" customHeight="true" outlineLevel="0" collapsed="false">
      <c r="A101" s="68" t="s">
        <v>1349</v>
      </c>
      <c r="B101" s="68" t="n">
        <v>1928</v>
      </c>
      <c r="C101" s="68" t="s">
        <v>46</v>
      </c>
      <c r="D101" s="68" t="s">
        <v>31</v>
      </c>
      <c r="E101" s="68" t="n">
        <v>2024</v>
      </c>
      <c r="F101" s="68" t="s">
        <v>798</v>
      </c>
      <c r="G101" s="68" t="n">
        <v>936</v>
      </c>
      <c r="H101" s="68" t="n">
        <v>2.7</v>
      </c>
    </row>
    <row r="102" customFormat="false" ht="14.25" hidden="false" customHeight="true" outlineLevel="0" collapsed="false">
      <c r="A102" s="68" t="s">
        <v>1349</v>
      </c>
      <c r="B102" s="68" t="n">
        <v>1929</v>
      </c>
      <c r="C102" s="68" t="s">
        <v>22</v>
      </c>
      <c r="D102" s="68" t="s">
        <v>42</v>
      </c>
      <c r="E102" s="68" t="n">
        <v>2024</v>
      </c>
      <c r="F102" s="68" t="s">
        <v>798</v>
      </c>
      <c r="G102" s="68" t="n">
        <v>6165</v>
      </c>
      <c r="H102" s="68" t="n">
        <v>1.4</v>
      </c>
    </row>
    <row r="103" customFormat="false" ht="14.25" hidden="false" customHeight="true" outlineLevel="0" collapsed="false">
      <c r="A103" s="68" t="s">
        <v>1349</v>
      </c>
      <c r="B103" s="68" t="n">
        <v>1930</v>
      </c>
      <c r="C103" s="68" t="s">
        <v>42</v>
      </c>
      <c r="D103" s="68" t="s">
        <v>53</v>
      </c>
      <c r="E103" s="68" t="n">
        <v>2024</v>
      </c>
      <c r="F103" s="68" t="s">
        <v>798</v>
      </c>
      <c r="G103" s="68" t="n">
        <v>9552</v>
      </c>
      <c r="H103" s="68" t="n">
        <v>4.2</v>
      </c>
    </row>
    <row r="104" customFormat="false" ht="14.25" hidden="false" customHeight="true" outlineLevel="0" collapsed="false">
      <c r="A104" s="68" t="s">
        <v>1349</v>
      </c>
      <c r="B104" s="68" t="n">
        <v>1931</v>
      </c>
      <c r="C104" s="68" t="s">
        <v>53</v>
      </c>
      <c r="D104" s="68" t="s">
        <v>39</v>
      </c>
      <c r="E104" s="68" t="n">
        <v>2024</v>
      </c>
      <c r="F104" s="68" t="s">
        <v>798</v>
      </c>
      <c r="G104" s="68" t="n">
        <v>7983</v>
      </c>
      <c r="H104" s="68" t="n">
        <v>3</v>
      </c>
    </row>
    <row r="105" customFormat="false" ht="14.25" hidden="false" customHeight="true" outlineLevel="0" collapsed="false">
      <c r="A105" s="68" t="s">
        <v>1349</v>
      </c>
      <c r="B105" s="68" t="n">
        <v>1932</v>
      </c>
      <c r="C105" s="68" t="s">
        <v>55</v>
      </c>
      <c r="D105" s="68" t="s">
        <v>22</v>
      </c>
      <c r="E105" s="68" t="n">
        <v>2024</v>
      </c>
      <c r="F105" s="68" t="s">
        <v>798</v>
      </c>
      <c r="G105" s="68" t="n">
        <v>5885</v>
      </c>
      <c r="H105" s="68" t="n">
        <v>2.1</v>
      </c>
    </row>
    <row r="106" customFormat="false" ht="14.25" hidden="false" customHeight="true" outlineLevel="0" collapsed="false">
      <c r="A106" s="68" t="s">
        <v>1349</v>
      </c>
      <c r="B106" s="68" t="n">
        <v>1933</v>
      </c>
      <c r="C106" s="68" t="s">
        <v>39</v>
      </c>
      <c r="D106" s="68" t="s">
        <v>55</v>
      </c>
      <c r="E106" s="68" t="n">
        <v>2024</v>
      </c>
      <c r="F106" s="68" t="s">
        <v>798</v>
      </c>
      <c r="G106" s="68" t="n">
        <v>11116</v>
      </c>
      <c r="H106" s="68" t="n">
        <v>1.8</v>
      </c>
    </row>
    <row r="107" customFormat="false" ht="14.25" hidden="false" customHeight="true" outlineLevel="0" collapsed="false">
      <c r="A107" s="68" t="s">
        <v>1349</v>
      </c>
      <c r="B107" s="68" t="n">
        <v>1934</v>
      </c>
      <c r="C107" s="68" t="s">
        <v>61</v>
      </c>
      <c r="D107" s="68" t="s">
        <v>53</v>
      </c>
      <c r="E107" s="68" t="n">
        <v>2024</v>
      </c>
      <c r="F107" s="68" t="s">
        <v>798</v>
      </c>
      <c r="G107" s="68" t="n">
        <v>5009</v>
      </c>
      <c r="H107" s="68" t="n">
        <v>3.4</v>
      </c>
    </row>
    <row r="108" customFormat="false" ht="14.25" hidden="false" customHeight="true" outlineLevel="0" collapsed="false">
      <c r="A108" s="68" t="s">
        <v>1349</v>
      </c>
      <c r="B108" s="68" t="n">
        <v>1935</v>
      </c>
      <c r="C108" s="68" t="s">
        <v>55</v>
      </c>
      <c r="D108" s="68" t="s">
        <v>53</v>
      </c>
      <c r="E108" s="68" t="n">
        <v>2024</v>
      </c>
      <c r="F108" s="68" t="s">
        <v>798</v>
      </c>
      <c r="G108" s="68" t="n">
        <v>6671</v>
      </c>
      <c r="H108" s="68" t="n">
        <v>3.7</v>
      </c>
    </row>
    <row r="109" customFormat="false" ht="14.25" hidden="false" customHeight="true" outlineLevel="0" collapsed="false">
      <c r="A109" s="68" t="s">
        <v>1349</v>
      </c>
      <c r="B109" s="68" t="n">
        <v>1936</v>
      </c>
      <c r="C109" s="68" t="s">
        <v>22</v>
      </c>
      <c r="D109" s="68" t="s">
        <v>53</v>
      </c>
      <c r="E109" s="68" t="n">
        <v>2024</v>
      </c>
      <c r="F109" s="68" t="s">
        <v>798</v>
      </c>
      <c r="G109" s="68" t="n">
        <v>10749</v>
      </c>
      <c r="H109" s="68" t="n">
        <v>2.7</v>
      </c>
    </row>
    <row r="110" customFormat="false" ht="14.25" hidden="false" customHeight="true" outlineLevel="0" collapsed="false">
      <c r="A110" s="68" t="s">
        <v>1349</v>
      </c>
      <c r="B110" s="68" t="n">
        <v>1937</v>
      </c>
      <c r="C110" s="68" t="s">
        <v>31</v>
      </c>
      <c r="D110" s="68" t="s">
        <v>64</v>
      </c>
      <c r="E110" s="68" t="n">
        <v>2024</v>
      </c>
      <c r="F110" s="68" t="s">
        <v>798</v>
      </c>
      <c r="G110" s="68" t="n">
        <v>2925</v>
      </c>
      <c r="H110" s="68" t="n">
        <v>0.5</v>
      </c>
    </row>
    <row r="111" customFormat="false" ht="14.25" hidden="false" customHeight="true" outlineLevel="0" collapsed="false">
      <c r="A111" s="68" t="s">
        <v>1349</v>
      </c>
      <c r="B111" s="68" t="n">
        <v>1938</v>
      </c>
      <c r="C111" s="68" t="s">
        <v>39</v>
      </c>
      <c r="D111" s="68" t="s">
        <v>16</v>
      </c>
      <c r="E111" s="68" t="n">
        <v>2024</v>
      </c>
      <c r="F111" s="68" t="s">
        <v>798</v>
      </c>
      <c r="G111" s="68" t="n">
        <v>5322</v>
      </c>
      <c r="H111" s="68" t="n">
        <v>2.2</v>
      </c>
    </row>
    <row r="112" customFormat="false" ht="14.25" hidden="false" customHeight="true" outlineLevel="0" collapsed="false">
      <c r="A112" s="68" t="s">
        <v>1349</v>
      </c>
      <c r="B112" s="68" t="n">
        <v>1939</v>
      </c>
      <c r="C112" s="68" t="s">
        <v>16</v>
      </c>
      <c r="D112" s="68" t="s">
        <v>31</v>
      </c>
      <c r="E112" s="68" t="n">
        <v>2024</v>
      </c>
      <c r="F112" s="68" t="s">
        <v>801</v>
      </c>
      <c r="G112" s="68" t="n">
        <v>212</v>
      </c>
      <c r="H112" s="68" t="n">
        <v>3.7</v>
      </c>
    </row>
    <row r="113" customFormat="false" ht="14.25" hidden="false" customHeight="true" outlineLevel="0" collapsed="false">
      <c r="A113" s="68" t="s">
        <v>1349</v>
      </c>
      <c r="B113" s="68" t="n">
        <v>1940</v>
      </c>
      <c r="C113" s="68" t="s">
        <v>16</v>
      </c>
      <c r="D113" s="68" t="s">
        <v>27</v>
      </c>
      <c r="E113" s="68" t="n">
        <v>2024</v>
      </c>
      <c r="F113" s="68" t="s">
        <v>801</v>
      </c>
      <c r="G113" s="68" t="n">
        <v>11639</v>
      </c>
      <c r="H113" s="68" t="n">
        <v>3.7</v>
      </c>
    </row>
    <row r="114" customFormat="false" ht="14.25" hidden="false" customHeight="true" outlineLevel="0" collapsed="false">
      <c r="A114" s="68" t="s">
        <v>1349</v>
      </c>
      <c r="B114" s="68" t="n">
        <v>1941</v>
      </c>
      <c r="C114" s="68" t="s">
        <v>53</v>
      </c>
      <c r="D114" s="68" t="s">
        <v>27</v>
      </c>
      <c r="E114" s="68" t="n">
        <v>2024</v>
      </c>
      <c r="F114" s="68" t="s">
        <v>801</v>
      </c>
      <c r="G114" s="68" t="n">
        <v>3987</v>
      </c>
      <c r="H114" s="68" t="n">
        <v>2.2</v>
      </c>
    </row>
    <row r="115" customFormat="false" ht="14.25" hidden="false" customHeight="true" outlineLevel="0" collapsed="false">
      <c r="A115" s="68" t="s">
        <v>1349</v>
      </c>
      <c r="B115" s="68" t="n">
        <v>1942</v>
      </c>
      <c r="C115" s="68" t="s">
        <v>53</v>
      </c>
      <c r="D115" s="68" t="s">
        <v>39</v>
      </c>
      <c r="E115" s="68" t="n">
        <v>2024</v>
      </c>
      <c r="F115" s="68" t="s">
        <v>801</v>
      </c>
      <c r="G115" s="68" t="n">
        <v>3726</v>
      </c>
      <c r="H115" s="68" t="n">
        <v>1.9</v>
      </c>
    </row>
    <row r="116" customFormat="false" ht="14.25" hidden="false" customHeight="true" outlineLevel="0" collapsed="false">
      <c r="A116" s="68" t="s">
        <v>1349</v>
      </c>
      <c r="B116" s="68" t="n">
        <v>1943</v>
      </c>
      <c r="C116" s="68" t="s">
        <v>67</v>
      </c>
      <c r="D116" s="68" t="s">
        <v>22</v>
      </c>
      <c r="E116" s="68" t="n">
        <v>2024</v>
      </c>
      <c r="F116" s="68" t="s">
        <v>801</v>
      </c>
      <c r="G116" s="68" t="n">
        <v>7943</v>
      </c>
      <c r="H116" s="68" t="n">
        <v>1.5</v>
      </c>
    </row>
    <row r="117" customFormat="false" ht="14.25" hidden="false" customHeight="true" outlineLevel="0" collapsed="false">
      <c r="A117" s="68" t="s">
        <v>1349</v>
      </c>
      <c r="B117" s="68" t="n">
        <v>1944</v>
      </c>
      <c r="C117" s="68" t="s">
        <v>64</v>
      </c>
      <c r="D117" s="68" t="s">
        <v>42</v>
      </c>
      <c r="E117" s="68" t="n">
        <v>2024</v>
      </c>
      <c r="F117" s="68" t="s">
        <v>801</v>
      </c>
      <c r="G117" s="68" t="n">
        <v>4474</v>
      </c>
      <c r="H117" s="68" t="n">
        <v>3.2</v>
      </c>
    </row>
    <row r="118" customFormat="false" ht="14.25" hidden="false" customHeight="true" outlineLevel="0" collapsed="false">
      <c r="A118" s="68" t="s">
        <v>1349</v>
      </c>
      <c r="B118" s="68" t="n">
        <v>1945</v>
      </c>
      <c r="C118" s="68" t="s">
        <v>57</v>
      </c>
      <c r="D118" s="68" t="s">
        <v>39</v>
      </c>
      <c r="E118" s="68" t="n">
        <v>2024</v>
      </c>
      <c r="F118" s="68" t="s">
        <v>801</v>
      </c>
      <c r="G118" s="68" t="n">
        <v>2193</v>
      </c>
      <c r="H118" s="68" t="n">
        <v>1.4</v>
      </c>
    </row>
    <row r="119" customFormat="false" ht="14.25" hidden="false" customHeight="true" outlineLevel="0" collapsed="false">
      <c r="A119" s="68" t="s">
        <v>1349</v>
      </c>
      <c r="B119" s="68" t="n">
        <v>1946</v>
      </c>
      <c r="C119" s="68" t="s">
        <v>57</v>
      </c>
      <c r="D119" s="68" t="s">
        <v>61</v>
      </c>
      <c r="E119" s="68" t="n">
        <v>2024</v>
      </c>
      <c r="F119" s="68" t="s">
        <v>801</v>
      </c>
      <c r="G119" s="68" t="n">
        <v>6062</v>
      </c>
      <c r="H119" s="68" t="n">
        <v>0.9</v>
      </c>
    </row>
    <row r="120" customFormat="false" ht="14.25" hidden="false" customHeight="true" outlineLevel="0" collapsed="false">
      <c r="A120" s="68" t="s">
        <v>1349</v>
      </c>
      <c r="B120" s="68" t="n">
        <v>1947</v>
      </c>
      <c r="C120" s="68" t="s">
        <v>67</v>
      </c>
      <c r="D120" s="68" t="s">
        <v>50</v>
      </c>
      <c r="E120" s="68" t="n">
        <v>2024</v>
      </c>
      <c r="F120" s="68" t="s">
        <v>801</v>
      </c>
      <c r="G120" s="68" t="n">
        <v>11040</v>
      </c>
      <c r="H120" s="68" t="n">
        <v>2.5</v>
      </c>
    </row>
    <row r="121" customFormat="false" ht="14.25" hidden="false" customHeight="true" outlineLevel="0" collapsed="false">
      <c r="A121" s="68" t="s">
        <v>1349</v>
      </c>
      <c r="B121" s="68" t="n">
        <v>1948</v>
      </c>
      <c r="C121" s="68" t="s">
        <v>42</v>
      </c>
      <c r="D121" s="68" t="s">
        <v>55</v>
      </c>
      <c r="E121" s="68" t="n">
        <v>2024</v>
      </c>
      <c r="F121" s="68" t="s">
        <v>801</v>
      </c>
      <c r="G121" s="68" t="n">
        <v>1131</v>
      </c>
      <c r="H121" s="68" t="n">
        <v>4.2</v>
      </c>
    </row>
    <row r="122" customFormat="false" ht="14.25" hidden="false" customHeight="true" outlineLevel="0" collapsed="false">
      <c r="A122" s="68" t="s">
        <v>1349</v>
      </c>
      <c r="B122" s="68" t="n">
        <v>1949</v>
      </c>
      <c r="C122" s="68" t="s">
        <v>16</v>
      </c>
      <c r="D122" s="68" t="s">
        <v>27</v>
      </c>
      <c r="E122" s="68" t="n">
        <v>2024</v>
      </c>
      <c r="F122" s="68" t="s">
        <v>801</v>
      </c>
      <c r="G122" s="68" t="n">
        <v>5484</v>
      </c>
      <c r="H122" s="68" t="n">
        <v>4.5</v>
      </c>
    </row>
    <row r="123" customFormat="false" ht="14.25" hidden="false" customHeight="true" outlineLevel="0" collapsed="false">
      <c r="A123" s="68" t="s">
        <v>1349</v>
      </c>
      <c r="B123" s="68" t="n">
        <v>1950</v>
      </c>
      <c r="C123" s="68" t="s">
        <v>35</v>
      </c>
      <c r="D123" s="68" t="s">
        <v>55</v>
      </c>
      <c r="E123" s="68" t="n">
        <v>2024</v>
      </c>
      <c r="F123" s="68" t="s">
        <v>801</v>
      </c>
      <c r="G123" s="68" t="n">
        <v>660</v>
      </c>
      <c r="H123" s="68" t="n">
        <v>2.5</v>
      </c>
    </row>
    <row r="124" customFormat="false" ht="14.25" hidden="false" customHeight="true" outlineLevel="0" collapsed="false">
      <c r="A124" s="68" t="s">
        <v>1349</v>
      </c>
      <c r="B124" s="68" t="n">
        <v>1951</v>
      </c>
      <c r="C124" s="68" t="s">
        <v>31</v>
      </c>
      <c r="D124" s="68" t="s">
        <v>46</v>
      </c>
      <c r="E124" s="68" t="n">
        <v>2024</v>
      </c>
      <c r="F124" s="68" t="s">
        <v>801</v>
      </c>
      <c r="G124" s="68" t="n">
        <v>5085</v>
      </c>
      <c r="H124" s="68" t="n">
        <v>4.9</v>
      </c>
    </row>
    <row r="125" customFormat="false" ht="14.25" hidden="false" customHeight="true" outlineLevel="0" collapsed="false">
      <c r="A125" s="68" t="s">
        <v>1349</v>
      </c>
      <c r="B125" s="68" t="n">
        <v>1952</v>
      </c>
      <c r="C125" s="68" t="s">
        <v>22</v>
      </c>
      <c r="D125" s="68" t="s">
        <v>50</v>
      </c>
      <c r="E125" s="68" t="n">
        <v>2024</v>
      </c>
      <c r="F125" s="68" t="s">
        <v>801</v>
      </c>
      <c r="G125" s="68" t="n">
        <v>10100</v>
      </c>
      <c r="H125" s="68" t="n">
        <v>0.7</v>
      </c>
    </row>
    <row r="126" customFormat="false" ht="14.25" hidden="false" customHeight="true" outlineLevel="0" collapsed="false">
      <c r="A126" s="68" t="s">
        <v>1349</v>
      </c>
      <c r="B126" s="68" t="n">
        <v>1953</v>
      </c>
      <c r="C126" s="68" t="s">
        <v>46</v>
      </c>
      <c r="D126" s="68" t="s">
        <v>22</v>
      </c>
      <c r="E126" s="68" t="n">
        <v>2024</v>
      </c>
      <c r="F126" s="68" t="s">
        <v>801</v>
      </c>
      <c r="G126" s="68" t="n">
        <v>9903</v>
      </c>
      <c r="H126" s="68" t="n">
        <v>2.8</v>
      </c>
    </row>
    <row r="127" customFormat="false" ht="14.25" hidden="false" customHeight="true" outlineLevel="0" collapsed="false">
      <c r="A127" s="68" t="s">
        <v>1349</v>
      </c>
      <c r="B127" s="68" t="n">
        <v>1954</v>
      </c>
      <c r="C127" s="68" t="s">
        <v>64</v>
      </c>
      <c r="D127" s="68" t="s">
        <v>27</v>
      </c>
      <c r="E127" s="68" t="n">
        <v>2024</v>
      </c>
      <c r="F127" s="68" t="s">
        <v>801</v>
      </c>
      <c r="G127" s="68" t="n">
        <v>6586</v>
      </c>
      <c r="H127" s="68" t="n">
        <v>1.6</v>
      </c>
    </row>
    <row r="128" customFormat="false" ht="14.25" hidden="false" customHeight="true" outlineLevel="0" collapsed="false">
      <c r="A128" s="68" t="s">
        <v>1349</v>
      </c>
      <c r="B128" s="68" t="n">
        <v>1955</v>
      </c>
      <c r="C128" s="68" t="s">
        <v>31</v>
      </c>
      <c r="D128" s="68" t="s">
        <v>53</v>
      </c>
      <c r="E128" s="68" t="n">
        <v>2024</v>
      </c>
      <c r="F128" s="68" t="s">
        <v>801</v>
      </c>
      <c r="G128" s="68" t="n">
        <v>6576</v>
      </c>
      <c r="H128" s="68" t="n">
        <v>1.7</v>
      </c>
    </row>
    <row r="129" customFormat="false" ht="14.25" hidden="false" customHeight="true" outlineLevel="0" collapsed="false">
      <c r="A129" s="68" t="s">
        <v>1349</v>
      </c>
      <c r="B129" s="68" t="n">
        <v>1956</v>
      </c>
      <c r="C129" s="68" t="s">
        <v>64</v>
      </c>
      <c r="D129" s="68" t="s">
        <v>27</v>
      </c>
      <c r="E129" s="68" t="n">
        <v>2025</v>
      </c>
      <c r="F129" s="68" t="s">
        <v>805</v>
      </c>
      <c r="G129" s="68" t="n">
        <v>940</v>
      </c>
      <c r="H129" s="68" t="n">
        <v>3</v>
      </c>
    </row>
    <row r="130" customFormat="false" ht="14.25" hidden="false" customHeight="true" outlineLevel="0" collapsed="false">
      <c r="A130" s="68" t="s">
        <v>1349</v>
      </c>
      <c r="B130" s="68" t="n">
        <v>1957</v>
      </c>
      <c r="C130" s="68" t="s">
        <v>31</v>
      </c>
      <c r="D130" s="68" t="s">
        <v>46</v>
      </c>
      <c r="E130" s="68" t="n">
        <v>2025</v>
      </c>
      <c r="F130" s="68" t="s">
        <v>805</v>
      </c>
      <c r="G130" s="68" t="n">
        <v>2593</v>
      </c>
      <c r="H130" s="68" t="n">
        <v>2.5</v>
      </c>
    </row>
    <row r="131" customFormat="false" ht="14.25" hidden="false" customHeight="true" outlineLevel="0" collapsed="false">
      <c r="A131" s="68" t="s">
        <v>1349</v>
      </c>
      <c r="B131" s="68" t="n">
        <v>1958</v>
      </c>
      <c r="C131" s="68" t="s">
        <v>53</v>
      </c>
      <c r="D131" s="68" t="s">
        <v>57</v>
      </c>
      <c r="E131" s="68" t="n">
        <v>2025</v>
      </c>
      <c r="F131" s="68" t="s">
        <v>805</v>
      </c>
      <c r="G131" s="68" t="n">
        <v>6454</v>
      </c>
      <c r="H131" s="68" t="n">
        <v>3.2</v>
      </c>
    </row>
    <row r="132" customFormat="false" ht="14.25" hidden="false" customHeight="true" outlineLevel="0" collapsed="false">
      <c r="A132" s="68" t="s">
        <v>1349</v>
      </c>
      <c r="B132" s="68" t="n">
        <v>1959</v>
      </c>
      <c r="C132" s="68" t="s">
        <v>42</v>
      </c>
      <c r="D132" s="68" t="s">
        <v>35</v>
      </c>
      <c r="E132" s="68" t="n">
        <v>2025</v>
      </c>
      <c r="F132" s="68" t="s">
        <v>805</v>
      </c>
      <c r="G132" s="68" t="n">
        <v>11675</v>
      </c>
      <c r="H132" s="68" t="n">
        <v>3.7</v>
      </c>
    </row>
    <row r="133" customFormat="false" ht="14.25" hidden="false" customHeight="true" outlineLevel="0" collapsed="false">
      <c r="A133" s="68" t="s">
        <v>1349</v>
      </c>
      <c r="B133" s="68" t="n">
        <v>1960</v>
      </c>
      <c r="C133" s="68" t="s">
        <v>22</v>
      </c>
      <c r="D133" s="68" t="s">
        <v>50</v>
      </c>
      <c r="E133" s="68" t="n">
        <v>2025</v>
      </c>
      <c r="F133" s="68" t="s">
        <v>805</v>
      </c>
      <c r="G133" s="68" t="n">
        <v>6624</v>
      </c>
      <c r="H133" s="68" t="n">
        <v>2.2</v>
      </c>
    </row>
    <row r="134" customFormat="false" ht="14.25" hidden="false" customHeight="true" outlineLevel="0" collapsed="false">
      <c r="A134" s="68" t="s">
        <v>1349</v>
      </c>
      <c r="B134" s="68" t="n">
        <v>1961</v>
      </c>
      <c r="C134" s="68" t="s">
        <v>22</v>
      </c>
      <c r="D134" s="68" t="s">
        <v>16</v>
      </c>
      <c r="E134" s="68" t="n">
        <v>2025</v>
      </c>
      <c r="F134" s="68" t="s">
        <v>805</v>
      </c>
      <c r="G134" s="68" t="n">
        <v>11721</v>
      </c>
      <c r="H134" s="68" t="n">
        <v>1</v>
      </c>
    </row>
    <row r="135" customFormat="false" ht="14.25" hidden="false" customHeight="true" outlineLevel="0" collapsed="false">
      <c r="A135" s="68" t="s">
        <v>1349</v>
      </c>
      <c r="B135" s="68" t="n">
        <v>1962</v>
      </c>
      <c r="C135" s="68" t="s">
        <v>39</v>
      </c>
      <c r="D135" s="68" t="s">
        <v>16</v>
      </c>
      <c r="E135" s="68" t="n">
        <v>2025</v>
      </c>
      <c r="F135" s="68" t="s">
        <v>805</v>
      </c>
      <c r="G135" s="68" t="n">
        <v>7463</v>
      </c>
      <c r="H135" s="68" t="n">
        <v>4.4</v>
      </c>
    </row>
    <row r="136" customFormat="false" ht="14.25" hidden="false" customHeight="true" outlineLevel="0" collapsed="false">
      <c r="A136" s="68" t="s">
        <v>1349</v>
      </c>
      <c r="B136" s="68" t="n">
        <v>1963</v>
      </c>
      <c r="C136" s="68" t="s">
        <v>46</v>
      </c>
      <c r="D136" s="68" t="s">
        <v>61</v>
      </c>
      <c r="E136" s="68" t="n">
        <v>2025</v>
      </c>
      <c r="F136" s="68" t="s">
        <v>805</v>
      </c>
      <c r="G136" s="68" t="n">
        <v>5393</v>
      </c>
      <c r="H136" s="68" t="n">
        <v>0.5</v>
      </c>
    </row>
    <row r="137" customFormat="false" ht="14.25" hidden="false" customHeight="true" outlineLevel="0" collapsed="false">
      <c r="A137" s="68" t="s">
        <v>1349</v>
      </c>
      <c r="B137" s="68" t="n">
        <v>1964</v>
      </c>
      <c r="C137" s="68" t="s">
        <v>22</v>
      </c>
      <c r="D137" s="68" t="s">
        <v>57</v>
      </c>
      <c r="E137" s="68" t="n">
        <v>2025</v>
      </c>
      <c r="F137" s="68" t="s">
        <v>805</v>
      </c>
      <c r="G137" s="68" t="n">
        <v>2628</v>
      </c>
      <c r="H137" s="68" t="n">
        <v>0.5</v>
      </c>
    </row>
    <row r="138" customFormat="false" ht="14.25" hidden="false" customHeight="true" outlineLevel="0" collapsed="false">
      <c r="A138" s="68" t="s">
        <v>1349</v>
      </c>
      <c r="B138" s="68" t="n">
        <v>1965</v>
      </c>
      <c r="C138" s="68" t="s">
        <v>67</v>
      </c>
      <c r="D138" s="68" t="s">
        <v>27</v>
      </c>
      <c r="E138" s="68" t="n">
        <v>2025</v>
      </c>
      <c r="F138" s="68" t="s">
        <v>805</v>
      </c>
      <c r="G138" s="68" t="n">
        <v>878</v>
      </c>
      <c r="H138" s="68" t="n">
        <v>3.1</v>
      </c>
    </row>
    <row r="139" customFormat="false" ht="14.25" hidden="false" customHeight="true" outlineLevel="0" collapsed="false">
      <c r="A139" s="68" t="s">
        <v>1349</v>
      </c>
      <c r="B139" s="68" t="n">
        <v>1966</v>
      </c>
      <c r="C139" s="68" t="s">
        <v>22</v>
      </c>
      <c r="D139" s="68" t="s">
        <v>42</v>
      </c>
      <c r="E139" s="68" t="n">
        <v>2025</v>
      </c>
      <c r="F139" s="68" t="s">
        <v>805</v>
      </c>
      <c r="G139" s="68" t="n">
        <v>544</v>
      </c>
      <c r="H139" s="68" t="n">
        <v>2.9</v>
      </c>
    </row>
    <row r="140" customFormat="false" ht="14.25" hidden="false" customHeight="true" outlineLevel="0" collapsed="false">
      <c r="A140" s="68" t="s">
        <v>1349</v>
      </c>
      <c r="B140" s="68" t="n">
        <v>1967</v>
      </c>
      <c r="C140" s="68" t="s">
        <v>42</v>
      </c>
      <c r="D140" s="68" t="s">
        <v>27</v>
      </c>
      <c r="E140" s="68" t="n">
        <v>2025</v>
      </c>
      <c r="F140" s="68" t="s">
        <v>805</v>
      </c>
      <c r="G140" s="68" t="n">
        <v>8002</v>
      </c>
      <c r="H140" s="68" t="n">
        <v>2.9</v>
      </c>
    </row>
    <row r="141" customFormat="false" ht="14.25" hidden="false" customHeight="true" outlineLevel="0" collapsed="false">
      <c r="A141" s="68" t="s">
        <v>1349</v>
      </c>
      <c r="B141" s="68" t="n">
        <v>1968</v>
      </c>
      <c r="C141" s="68" t="s">
        <v>50</v>
      </c>
      <c r="D141" s="68" t="s">
        <v>61</v>
      </c>
      <c r="E141" s="68" t="n">
        <v>2025</v>
      </c>
      <c r="F141" s="68" t="s">
        <v>805</v>
      </c>
      <c r="G141" s="68" t="n">
        <v>5499</v>
      </c>
      <c r="H141" s="68" t="n">
        <v>3.9</v>
      </c>
    </row>
    <row r="142" customFormat="false" ht="14.25" hidden="false" customHeight="true" outlineLevel="0" collapsed="false">
      <c r="A142" s="68" t="s">
        <v>1349</v>
      </c>
      <c r="B142" s="68" t="n">
        <v>1969</v>
      </c>
      <c r="C142" s="68" t="s">
        <v>55</v>
      </c>
      <c r="D142" s="68" t="s">
        <v>16</v>
      </c>
      <c r="E142" s="68" t="n">
        <v>2025</v>
      </c>
      <c r="F142" s="68" t="s">
        <v>805</v>
      </c>
      <c r="G142" s="68" t="n">
        <v>1928</v>
      </c>
      <c r="H142" s="68" t="n">
        <v>1.9</v>
      </c>
    </row>
    <row r="143" customFormat="false" ht="14.25" hidden="false" customHeight="true" outlineLevel="0" collapsed="false">
      <c r="A143" s="68" t="s">
        <v>1349</v>
      </c>
      <c r="B143" s="68" t="n">
        <v>1970</v>
      </c>
      <c r="C143" s="68" t="s">
        <v>64</v>
      </c>
      <c r="D143" s="68" t="s">
        <v>31</v>
      </c>
      <c r="E143" s="68" t="n">
        <v>2025</v>
      </c>
      <c r="F143" s="68" t="s">
        <v>805</v>
      </c>
      <c r="G143" s="68" t="n">
        <v>7921</v>
      </c>
      <c r="H143" s="68" t="n">
        <v>4.4</v>
      </c>
    </row>
    <row r="144" customFormat="false" ht="14.25" hidden="false" customHeight="true" outlineLevel="0" collapsed="false">
      <c r="A144" s="68" t="s">
        <v>1349</v>
      </c>
      <c r="B144" s="68" t="n">
        <v>1971</v>
      </c>
      <c r="C144" s="68" t="s">
        <v>27</v>
      </c>
      <c r="D144" s="68" t="s">
        <v>64</v>
      </c>
      <c r="E144" s="68" t="n">
        <v>2025</v>
      </c>
      <c r="F144" s="68" t="s">
        <v>805</v>
      </c>
      <c r="G144" s="68" t="n">
        <v>10837</v>
      </c>
      <c r="H144" s="68" t="n">
        <v>1.4</v>
      </c>
    </row>
    <row r="145" customFormat="false" ht="14.25" hidden="false" customHeight="true" outlineLevel="0" collapsed="false">
      <c r="A145" s="68" t="s">
        <v>1349</v>
      </c>
      <c r="B145" s="68" t="n">
        <v>1972</v>
      </c>
      <c r="C145" s="68" t="s">
        <v>64</v>
      </c>
      <c r="D145" s="68" t="s">
        <v>16</v>
      </c>
      <c r="E145" s="68" t="n">
        <v>2025</v>
      </c>
      <c r="F145" s="68" t="s">
        <v>805</v>
      </c>
      <c r="G145" s="68" t="n">
        <v>219</v>
      </c>
      <c r="H145" s="68" t="n">
        <v>3</v>
      </c>
    </row>
    <row r="146" customFormat="false" ht="14.25" hidden="false" customHeight="true" outlineLevel="0" collapsed="false">
      <c r="A146" s="68" t="s">
        <v>1349</v>
      </c>
      <c r="B146" s="68" t="n">
        <v>1973</v>
      </c>
      <c r="C146" s="68" t="s">
        <v>57</v>
      </c>
      <c r="D146" s="68" t="s">
        <v>39</v>
      </c>
      <c r="E146" s="68" t="n">
        <v>2025</v>
      </c>
      <c r="F146" s="68" t="s">
        <v>805</v>
      </c>
      <c r="G146" s="68" t="n">
        <v>7112</v>
      </c>
      <c r="H146" s="68" t="n">
        <v>4.1</v>
      </c>
    </row>
    <row r="147" customFormat="false" ht="14.25" hidden="false" customHeight="true" outlineLevel="0" collapsed="false">
      <c r="A147" s="68" t="s">
        <v>1349</v>
      </c>
      <c r="B147" s="68" t="n">
        <v>1974</v>
      </c>
      <c r="C147" s="68" t="s">
        <v>50</v>
      </c>
      <c r="D147" s="68" t="s">
        <v>61</v>
      </c>
      <c r="E147" s="68" t="n">
        <v>2025</v>
      </c>
      <c r="F147" s="68" t="s">
        <v>805</v>
      </c>
      <c r="G147" s="68" t="n">
        <v>11695</v>
      </c>
      <c r="H147" s="68" t="n">
        <v>2.9</v>
      </c>
    </row>
    <row r="148" customFormat="false" ht="14.25" hidden="false" customHeight="true" outlineLevel="0" collapsed="false">
      <c r="A148" s="68" t="s">
        <v>1349</v>
      </c>
      <c r="B148" s="68" t="n">
        <v>1975</v>
      </c>
      <c r="C148" s="68" t="s">
        <v>53</v>
      </c>
      <c r="D148" s="68" t="s">
        <v>64</v>
      </c>
      <c r="E148" s="68" t="n">
        <v>2025</v>
      </c>
      <c r="F148" s="68" t="s">
        <v>805</v>
      </c>
      <c r="G148" s="68" t="n">
        <v>5712</v>
      </c>
      <c r="H148" s="68" t="n">
        <v>1.1</v>
      </c>
    </row>
    <row r="149" customFormat="false" ht="14.25" hidden="false" customHeight="true" outlineLevel="0" collapsed="false">
      <c r="A149" s="68" t="s">
        <v>1349</v>
      </c>
      <c r="B149" s="68" t="n">
        <v>1976</v>
      </c>
      <c r="C149" s="68" t="s">
        <v>67</v>
      </c>
      <c r="D149" s="68" t="s">
        <v>27</v>
      </c>
      <c r="E149" s="68" t="n">
        <v>2025</v>
      </c>
      <c r="F149" s="68" t="s">
        <v>805</v>
      </c>
      <c r="G149" s="68" t="n">
        <v>1893</v>
      </c>
      <c r="H149" s="68" t="n">
        <v>3.5</v>
      </c>
    </row>
    <row r="150" customFormat="false" ht="14.25" hidden="false" customHeight="true" outlineLevel="0" collapsed="false">
      <c r="A150" s="68" t="s">
        <v>1349</v>
      </c>
      <c r="B150" s="68" t="n">
        <v>1977</v>
      </c>
      <c r="C150" s="68" t="s">
        <v>53</v>
      </c>
      <c r="D150" s="68" t="s">
        <v>22</v>
      </c>
      <c r="E150" s="68" t="n">
        <v>2025</v>
      </c>
      <c r="F150" s="68" t="s">
        <v>805</v>
      </c>
      <c r="G150" s="68" t="n">
        <v>1274</v>
      </c>
      <c r="H150" s="68" t="n">
        <v>3.2</v>
      </c>
    </row>
    <row r="151" customFormat="false" ht="14.25" hidden="false" customHeight="true" outlineLevel="0" collapsed="false">
      <c r="A151" s="68" t="s">
        <v>1349</v>
      </c>
      <c r="B151" s="68" t="n">
        <v>1978</v>
      </c>
      <c r="C151" s="68" t="s">
        <v>53</v>
      </c>
      <c r="D151" s="68" t="s">
        <v>42</v>
      </c>
      <c r="E151" s="68" t="n">
        <v>2025</v>
      </c>
      <c r="F151" s="68" t="s">
        <v>798</v>
      </c>
      <c r="G151" s="68" t="n">
        <v>6244</v>
      </c>
      <c r="H151" s="68" t="n">
        <v>2</v>
      </c>
    </row>
    <row r="152" customFormat="false" ht="14.25" hidden="false" customHeight="true" outlineLevel="0" collapsed="false">
      <c r="A152" s="68" t="s">
        <v>1349</v>
      </c>
      <c r="B152" s="68" t="n">
        <v>1979</v>
      </c>
      <c r="C152" s="68" t="s">
        <v>39</v>
      </c>
      <c r="D152" s="68" t="s">
        <v>16</v>
      </c>
      <c r="E152" s="68" t="n">
        <v>2025</v>
      </c>
      <c r="F152" s="68" t="s">
        <v>798</v>
      </c>
      <c r="G152" s="68" t="n">
        <v>6050</v>
      </c>
      <c r="H152" s="68" t="n">
        <v>2.7</v>
      </c>
    </row>
    <row r="153" customFormat="false" ht="14.25" hidden="false" customHeight="true" outlineLevel="0" collapsed="false">
      <c r="A153" s="68" t="s">
        <v>1349</v>
      </c>
      <c r="B153" s="68" t="n">
        <v>1980</v>
      </c>
      <c r="C153" s="68" t="s">
        <v>61</v>
      </c>
      <c r="D153" s="68" t="s">
        <v>53</v>
      </c>
      <c r="E153" s="68" t="n">
        <v>2025</v>
      </c>
      <c r="F153" s="68" t="s">
        <v>798</v>
      </c>
      <c r="G153" s="68" t="n">
        <v>1191</v>
      </c>
      <c r="H153" s="68" t="n">
        <v>4.8</v>
      </c>
    </row>
    <row r="154" customFormat="false" ht="14.25" hidden="false" customHeight="true" outlineLevel="0" collapsed="false">
      <c r="A154" s="68" t="s">
        <v>1349</v>
      </c>
      <c r="B154" s="68" t="n">
        <v>1981</v>
      </c>
      <c r="C154" s="68" t="s">
        <v>27</v>
      </c>
      <c r="D154" s="68" t="s">
        <v>64</v>
      </c>
      <c r="E154" s="68" t="n">
        <v>2025</v>
      </c>
      <c r="F154" s="68" t="s">
        <v>798</v>
      </c>
      <c r="G154" s="68" t="n">
        <v>8638</v>
      </c>
      <c r="H154" s="68" t="n">
        <v>0.5</v>
      </c>
    </row>
    <row r="155" customFormat="false" ht="14.25" hidden="false" customHeight="true" outlineLevel="0" collapsed="false">
      <c r="A155" s="68" t="s">
        <v>1349</v>
      </c>
      <c r="B155" s="68" t="n">
        <v>1982</v>
      </c>
      <c r="C155" s="68" t="s">
        <v>35</v>
      </c>
      <c r="D155" s="68" t="s">
        <v>61</v>
      </c>
      <c r="E155" s="68" t="n">
        <v>2025</v>
      </c>
      <c r="F155" s="68" t="s">
        <v>798</v>
      </c>
      <c r="G155" s="68" t="n">
        <v>4655</v>
      </c>
      <c r="H155" s="68" t="n">
        <v>2.5</v>
      </c>
    </row>
    <row r="156" customFormat="false" ht="14.25" hidden="false" customHeight="true" outlineLevel="0" collapsed="false">
      <c r="A156" s="68" t="s">
        <v>1349</v>
      </c>
      <c r="B156" s="68" t="n">
        <v>1983</v>
      </c>
      <c r="C156" s="68" t="s">
        <v>46</v>
      </c>
      <c r="D156" s="68" t="s">
        <v>35</v>
      </c>
      <c r="E156" s="68" t="n">
        <v>2025</v>
      </c>
      <c r="F156" s="68" t="s">
        <v>798</v>
      </c>
      <c r="G156" s="68" t="n">
        <v>5693</v>
      </c>
      <c r="H156" s="68" t="n">
        <v>3.1</v>
      </c>
    </row>
    <row r="157" customFormat="false" ht="14.25" hidden="false" customHeight="true" outlineLevel="0" collapsed="false">
      <c r="A157" s="68" t="s">
        <v>1349</v>
      </c>
      <c r="B157" s="68" t="n">
        <v>1984</v>
      </c>
      <c r="C157" s="68" t="s">
        <v>42</v>
      </c>
      <c r="D157" s="68" t="s">
        <v>55</v>
      </c>
      <c r="E157" s="68" t="n">
        <v>2025</v>
      </c>
      <c r="F157" s="68" t="s">
        <v>798</v>
      </c>
      <c r="G157" s="68" t="n">
        <v>3006</v>
      </c>
      <c r="H157" s="68" t="n">
        <v>2.6</v>
      </c>
    </row>
    <row r="158" customFormat="false" ht="14.25" hidden="false" customHeight="true" outlineLevel="0" collapsed="false">
      <c r="A158" s="68" t="s">
        <v>1349</v>
      </c>
      <c r="B158" s="68" t="n">
        <v>1985</v>
      </c>
      <c r="C158" s="68" t="s">
        <v>61</v>
      </c>
      <c r="D158" s="68" t="s">
        <v>53</v>
      </c>
      <c r="E158" s="68" t="n">
        <v>2025</v>
      </c>
      <c r="F158" s="68" t="s">
        <v>798</v>
      </c>
      <c r="G158" s="68" t="n">
        <v>6975</v>
      </c>
      <c r="H158" s="68" t="n">
        <v>3.4</v>
      </c>
    </row>
    <row r="159" customFormat="false" ht="14.25" hidden="false" customHeight="true" outlineLevel="0" collapsed="false">
      <c r="A159" s="68" t="s">
        <v>1349</v>
      </c>
      <c r="B159" s="68" t="n">
        <v>1986</v>
      </c>
      <c r="C159" s="68" t="s">
        <v>53</v>
      </c>
      <c r="D159" s="68" t="s">
        <v>61</v>
      </c>
      <c r="E159" s="68" t="n">
        <v>2025</v>
      </c>
      <c r="F159" s="68" t="s">
        <v>798</v>
      </c>
      <c r="G159" s="68" t="n">
        <v>5520</v>
      </c>
      <c r="H159" s="68" t="n">
        <v>3.2</v>
      </c>
    </row>
    <row r="160" customFormat="false" ht="14.25" hidden="false" customHeight="true" outlineLevel="0" collapsed="false">
      <c r="A160" s="68" t="s">
        <v>1349</v>
      </c>
      <c r="B160" s="68" t="n">
        <v>1987</v>
      </c>
      <c r="C160" s="68" t="s">
        <v>35</v>
      </c>
      <c r="D160" s="68" t="s">
        <v>22</v>
      </c>
      <c r="E160" s="68" t="n">
        <v>2025</v>
      </c>
      <c r="F160" s="68" t="s">
        <v>798</v>
      </c>
      <c r="G160" s="68" t="n">
        <v>599</v>
      </c>
      <c r="H160" s="68" t="n">
        <v>1.9</v>
      </c>
    </row>
    <row r="161" customFormat="false" ht="14.25" hidden="false" customHeight="true" outlineLevel="0" collapsed="false">
      <c r="A161" s="68" t="s">
        <v>1349</v>
      </c>
      <c r="B161" s="68" t="n">
        <v>1988</v>
      </c>
      <c r="C161" s="68" t="s">
        <v>55</v>
      </c>
      <c r="D161" s="68" t="s">
        <v>16</v>
      </c>
      <c r="E161" s="68" t="n">
        <v>2025</v>
      </c>
      <c r="F161" s="68" t="s">
        <v>798</v>
      </c>
      <c r="G161" s="68" t="n">
        <v>9355</v>
      </c>
      <c r="H161" s="68" t="n">
        <v>3.9</v>
      </c>
    </row>
    <row r="162" customFormat="false" ht="14.25" hidden="false" customHeight="true" outlineLevel="0" collapsed="false">
      <c r="A162" s="68" t="s">
        <v>1349</v>
      </c>
      <c r="B162" s="68" t="n">
        <v>1989</v>
      </c>
      <c r="C162" s="68" t="s">
        <v>57</v>
      </c>
      <c r="D162" s="68" t="s">
        <v>67</v>
      </c>
      <c r="E162" s="68" t="n">
        <v>2025</v>
      </c>
      <c r="F162" s="68" t="s">
        <v>798</v>
      </c>
      <c r="G162" s="68" t="n">
        <v>8291</v>
      </c>
      <c r="H162" s="68" t="n">
        <v>5</v>
      </c>
    </row>
    <row r="163" customFormat="false" ht="14.25" hidden="false" customHeight="true" outlineLevel="0" collapsed="false">
      <c r="A163" s="68" t="s">
        <v>1349</v>
      </c>
      <c r="B163" s="68" t="n">
        <v>1990</v>
      </c>
      <c r="C163" s="68" t="s">
        <v>46</v>
      </c>
      <c r="D163" s="68" t="s">
        <v>55</v>
      </c>
      <c r="E163" s="68" t="n">
        <v>2025</v>
      </c>
      <c r="F163" s="68" t="s">
        <v>798</v>
      </c>
      <c r="G163" s="68" t="n">
        <v>2030</v>
      </c>
      <c r="H163" s="68" t="n">
        <v>1.4</v>
      </c>
    </row>
    <row r="164" customFormat="false" ht="14.25" hidden="false" customHeight="true" outlineLevel="0" collapsed="false">
      <c r="A164" s="68" t="s">
        <v>1349</v>
      </c>
      <c r="B164" s="68" t="n">
        <v>1991</v>
      </c>
      <c r="C164" s="68" t="s">
        <v>39</v>
      </c>
      <c r="D164" s="68" t="s">
        <v>16</v>
      </c>
      <c r="E164" s="68" t="n">
        <v>2025</v>
      </c>
      <c r="F164" s="68" t="s">
        <v>798</v>
      </c>
      <c r="G164" s="68" t="n">
        <v>6330</v>
      </c>
      <c r="H164" s="68" t="n">
        <v>3.8</v>
      </c>
    </row>
    <row r="165" customFormat="false" ht="14.25" hidden="false" customHeight="true" outlineLevel="0" collapsed="false">
      <c r="A165" s="68" t="s">
        <v>1349</v>
      </c>
      <c r="B165" s="68" t="n">
        <v>1992</v>
      </c>
      <c r="C165" s="68" t="s">
        <v>22</v>
      </c>
      <c r="D165" s="68" t="s">
        <v>31</v>
      </c>
      <c r="E165" s="68" t="n">
        <v>2025</v>
      </c>
      <c r="F165" s="68" t="s">
        <v>798</v>
      </c>
      <c r="G165" s="68" t="n">
        <v>1822</v>
      </c>
      <c r="H165" s="68" t="n">
        <v>4</v>
      </c>
    </row>
    <row r="166" customFormat="false" ht="14.25" hidden="false" customHeight="true" outlineLevel="0" collapsed="false">
      <c r="A166" s="68" t="s">
        <v>1349</v>
      </c>
      <c r="B166" s="68" t="n">
        <v>1993</v>
      </c>
      <c r="C166" s="68" t="s">
        <v>67</v>
      </c>
      <c r="D166" s="68" t="s">
        <v>53</v>
      </c>
      <c r="E166" s="68" t="n">
        <v>2025</v>
      </c>
      <c r="F166" s="68" t="s">
        <v>798</v>
      </c>
      <c r="G166" s="68" t="n">
        <v>6246</v>
      </c>
      <c r="H166" s="68" t="n">
        <v>2.9</v>
      </c>
    </row>
    <row r="167" customFormat="false" ht="14.25" hidden="false" customHeight="true" outlineLevel="0" collapsed="false">
      <c r="A167" s="68" t="s">
        <v>1349</v>
      </c>
      <c r="B167" s="68" t="n">
        <v>1994</v>
      </c>
      <c r="C167" s="68" t="s">
        <v>61</v>
      </c>
      <c r="D167" s="68" t="s">
        <v>55</v>
      </c>
      <c r="E167" s="68" t="n">
        <v>2025</v>
      </c>
      <c r="F167" s="68" t="s">
        <v>798</v>
      </c>
      <c r="G167" s="68" t="n">
        <v>11088</v>
      </c>
      <c r="H167" s="68" t="n">
        <v>2.5</v>
      </c>
    </row>
    <row r="168" customFormat="false" ht="14.25" hidden="false" customHeight="true" outlineLevel="0" collapsed="false">
      <c r="A168" s="68" t="s">
        <v>1349</v>
      </c>
      <c r="B168" s="68" t="n">
        <v>1995</v>
      </c>
      <c r="C168" s="68" t="s">
        <v>61</v>
      </c>
      <c r="D168" s="68" t="s">
        <v>50</v>
      </c>
      <c r="E168" s="68" t="n">
        <v>2025</v>
      </c>
      <c r="F168" s="68" t="s">
        <v>798</v>
      </c>
      <c r="G168" s="68" t="n">
        <v>5417</v>
      </c>
      <c r="H168" s="68" t="n">
        <v>2.1</v>
      </c>
    </row>
    <row r="169" customFormat="false" ht="14.25" hidden="false" customHeight="true" outlineLevel="0" collapsed="false">
      <c r="A169" s="68" t="s">
        <v>1349</v>
      </c>
      <c r="B169" s="68" t="n">
        <v>1996</v>
      </c>
      <c r="C169" s="68" t="s">
        <v>39</v>
      </c>
      <c r="D169" s="68" t="s">
        <v>31</v>
      </c>
      <c r="E169" s="68" t="n">
        <v>2025</v>
      </c>
      <c r="F169" s="68" t="s">
        <v>798</v>
      </c>
      <c r="G169" s="68" t="n">
        <v>8988</v>
      </c>
      <c r="H169" s="68" t="n">
        <v>1.9</v>
      </c>
    </row>
    <row r="170" customFormat="false" ht="14.25" hidden="false" customHeight="true" outlineLevel="0" collapsed="false">
      <c r="A170" s="68" t="s">
        <v>1349</v>
      </c>
      <c r="B170" s="68" t="n">
        <v>1997</v>
      </c>
      <c r="C170" s="68" t="s">
        <v>35</v>
      </c>
      <c r="D170" s="68" t="s">
        <v>55</v>
      </c>
      <c r="E170" s="68" t="n">
        <v>2025</v>
      </c>
      <c r="F170" s="68" t="s">
        <v>798</v>
      </c>
      <c r="G170" s="68" t="n">
        <v>1297</v>
      </c>
      <c r="H170" s="68" t="n">
        <v>2.2</v>
      </c>
    </row>
    <row r="171" customFormat="false" ht="14.25" hidden="false" customHeight="true" outlineLevel="0" collapsed="false">
      <c r="A171" s="68" t="s">
        <v>1349</v>
      </c>
      <c r="B171" s="68" t="n">
        <v>1998</v>
      </c>
      <c r="C171" s="68" t="s">
        <v>67</v>
      </c>
      <c r="D171" s="68" t="s">
        <v>50</v>
      </c>
      <c r="E171" s="68" t="n">
        <v>2025</v>
      </c>
      <c r="F171" s="68" t="s">
        <v>798</v>
      </c>
      <c r="G171" s="68" t="n">
        <v>10850</v>
      </c>
      <c r="H171" s="68" t="n">
        <v>0.5</v>
      </c>
    </row>
    <row r="172" customFormat="false" ht="14.25" hidden="false" customHeight="true" outlineLevel="0" collapsed="false">
      <c r="A172" s="68" t="s">
        <v>1349</v>
      </c>
      <c r="B172" s="68" t="n">
        <v>1999</v>
      </c>
      <c r="C172" s="68" t="s">
        <v>27</v>
      </c>
      <c r="D172" s="68" t="s">
        <v>61</v>
      </c>
      <c r="E172" s="68" t="n">
        <v>2025</v>
      </c>
      <c r="F172" s="68" t="s">
        <v>798</v>
      </c>
      <c r="G172" s="68" t="n">
        <v>4802</v>
      </c>
      <c r="H172" s="68" t="n">
        <v>1.6</v>
      </c>
    </row>
    <row r="173" customFormat="false" ht="14.25" hidden="false" customHeight="true" outlineLevel="0" collapsed="false">
      <c r="A173" s="68" t="s">
        <v>1349</v>
      </c>
      <c r="B173" s="68" t="n">
        <v>2000</v>
      </c>
      <c r="C173" s="68" t="s">
        <v>46</v>
      </c>
      <c r="D173" s="68" t="s">
        <v>67</v>
      </c>
      <c r="E173" s="68" t="n">
        <v>2025</v>
      </c>
      <c r="F173" s="68" t="s">
        <v>798</v>
      </c>
      <c r="G173" s="68" t="n">
        <v>8593</v>
      </c>
      <c r="H173" s="68" t="n">
        <v>2.4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8"/>
    <col collapsed="false" customWidth="true" hidden="false" outlineLevel="0" max="3" min="3" style="1" width="80"/>
    <col collapsed="false" customWidth="true" hidden="false" outlineLevel="0" max="4" min="4" style="1" width="50"/>
  </cols>
  <sheetData>
    <row r="1" customFormat="false" ht="27" hidden="false" customHeight="true" outlineLevel="0" collapsed="false">
      <c r="A1" s="2" t="s">
        <v>1350</v>
      </c>
      <c r="B1" s="2"/>
      <c r="C1" s="2"/>
      <c r="D1" s="2"/>
    </row>
    <row r="2" customFormat="false" ht="18" hidden="false" customHeight="true" outlineLevel="0" collapsed="false">
      <c r="A2" s="15"/>
      <c r="B2" s="15"/>
      <c r="C2" s="15"/>
      <c r="D2" s="15"/>
    </row>
    <row r="3" customFormat="false" ht="24" hidden="false" customHeight="true" outlineLevel="0" collapsed="false">
      <c r="A3" s="5" t="s">
        <v>438</v>
      </c>
      <c r="B3" s="5" t="s">
        <v>1351</v>
      </c>
      <c r="C3" s="5" t="s">
        <v>1352</v>
      </c>
      <c r="D3" s="5" t="s">
        <v>1353</v>
      </c>
    </row>
    <row r="4" customFormat="false" ht="39.75" hidden="false" customHeight="true" outlineLevel="0" collapsed="false">
      <c r="A4" s="30" t="s">
        <v>1354</v>
      </c>
      <c r="B4" s="30" t="s">
        <v>1355</v>
      </c>
      <c r="C4" s="30" t="s">
        <v>1356</v>
      </c>
      <c r="D4" s="30" t="s">
        <v>1357</v>
      </c>
    </row>
    <row r="5" customFormat="false" ht="39.75" hidden="false" customHeight="true" outlineLevel="0" collapsed="false">
      <c r="A5" s="31" t="s">
        <v>1358</v>
      </c>
      <c r="B5" s="31" t="s">
        <v>1355</v>
      </c>
      <c r="C5" s="31" t="s">
        <v>1356</v>
      </c>
      <c r="D5" s="31" t="s">
        <v>1359</v>
      </c>
    </row>
    <row r="6" customFormat="false" ht="39.75" hidden="false" customHeight="true" outlineLevel="0" collapsed="false">
      <c r="A6" s="30" t="s">
        <v>1360</v>
      </c>
      <c r="B6" s="30" t="s">
        <v>1361</v>
      </c>
      <c r="C6" s="30" t="s">
        <v>1362</v>
      </c>
      <c r="D6" s="30" t="s">
        <v>1363</v>
      </c>
    </row>
    <row r="7" customFormat="false" ht="39.75" hidden="false" customHeight="true" outlineLevel="0" collapsed="false">
      <c r="A7" s="31" t="s">
        <v>1364</v>
      </c>
      <c r="B7" s="31" t="s">
        <v>1365</v>
      </c>
      <c r="C7" s="31" t="s">
        <v>1366</v>
      </c>
      <c r="D7" s="31" t="s">
        <v>1367</v>
      </c>
    </row>
    <row r="8" customFormat="false" ht="39.75" hidden="false" customHeight="true" outlineLevel="0" collapsed="false">
      <c r="A8" s="30" t="s">
        <v>1368</v>
      </c>
      <c r="B8" s="30" t="s">
        <v>1369</v>
      </c>
      <c r="C8" s="30" t="s">
        <v>1370</v>
      </c>
      <c r="D8" s="30" t="s">
        <v>1371</v>
      </c>
    </row>
    <row r="9" customFormat="false" ht="39.75" hidden="false" customHeight="true" outlineLevel="0" collapsed="false">
      <c r="A9" s="31" t="s">
        <v>1372</v>
      </c>
      <c r="B9" s="31" t="s">
        <v>1373</v>
      </c>
      <c r="C9" s="31" t="s">
        <v>1374</v>
      </c>
      <c r="D9" s="31" t="s">
        <v>1375</v>
      </c>
    </row>
    <row r="10" customFormat="false" ht="39.75" hidden="false" customHeight="true" outlineLevel="0" collapsed="false">
      <c r="A10" s="30" t="s">
        <v>1376</v>
      </c>
      <c r="B10" s="30" t="s">
        <v>1373</v>
      </c>
      <c r="C10" s="30" t="s">
        <v>1377</v>
      </c>
      <c r="D10" s="30" t="s">
        <v>1378</v>
      </c>
    </row>
    <row r="11" customFormat="false" ht="39.75" hidden="false" customHeight="true" outlineLevel="0" collapsed="false">
      <c r="A11" s="31" t="s">
        <v>1379</v>
      </c>
      <c r="B11" s="31" t="s">
        <v>1380</v>
      </c>
      <c r="C11" s="31" t="s">
        <v>1381</v>
      </c>
      <c r="D11" s="31" t="s">
        <v>1382</v>
      </c>
    </row>
    <row r="12" customFormat="false" ht="39.75" hidden="false" customHeight="true" outlineLevel="0" collapsed="false">
      <c r="A12" s="30" t="s">
        <v>1383</v>
      </c>
      <c r="B12" s="30" t="s">
        <v>1384</v>
      </c>
      <c r="C12" s="30" t="s">
        <v>1385</v>
      </c>
      <c r="D12" s="30" t="s">
        <v>1386</v>
      </c>
    </row>
    <row r="13" customFormat="false" ht="39.75" hidden="false" customHeight="true" outlineLevel="0" collapsed="false">
      <c r="A13" s="31" t="s">
        <v>1387</v>
      </c>
      <c r="B13" s="31" t="s">
        <v>1384</v>
      </c>
      <c r="C13" s="31" t="s">
        <v>1388</v>
      </c>
      <c r="D13" s="31" t="s">
        <v>1389</v>
      </c>
    </row>
    <row r="14" customFormat="false" ht="39.75" hidden="false" customHeight="true" outlineLevel="0" collapsed="false">
      <c r="A14" s="30" t="s">
        <v>1390</v>
      </c>
      <c r="B14" s="30" t="s">
        <v>1384</v>
      </c>
      <c r="C14" s="30" t="s">
        <v>1391</v>
      </c>
      <c r="D14" s="30" t="s">
        <v>1392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  <col collapsed="false" customWidth="true" hidden="false" outlineLevel="0" max="3" min="3" style="1" width="60"/>
  </cols>
  <sheetData>
    <row r="1" customFormat="false" ht="27" hidden="false" customHeight="true" outlineLevel="0" collapsed="false">
      <c r="A1" s="35" t="s">
        <v>1393</v>
      </c>
      <c r="B1" s="35"/>
      <c r="C1" s="35"/>
    </row>
    <row r="2" customFormat="false" ht="18" hidden="false" customHeight="true" outlineLevel="0" collapsed="false">
      <c r="A2" s="25"/>
      <c r="B2" s="25"/>
      <c r="C2" s="25"/>
    </row>
    <row r="3" customFormat="false" ht="27.75" hidden="false" customHeight="true" outlineLevel="0" collapsed="false">
      <c r="A3" s="5" t="s">
        <v>1394</v>
      </c>
      <c r="B3" s="5" t="s">
        <v>1395</v>
      </c>
      <c r="C3" s="5" t="s">
        <v>1396</v>
      </c>
    </row>
    <row r="4" customFormat="false" ht="69.75" hidden="false" customHeight="true" outlineLevel="0" collapsed="false">
      <c r="A4" s="30" t="s">
        <v>1397</v>
      </c>
      <c r="B4" s="30" t="s">
        <v>1398</v>
      </c>
      <c r="C4" s="30" t="s">
        <v>1399</v>
      </c>
    </row>
    <row r="5" customFormat="false" ht="69.75" hidden="false" customHeight="true" outlineLevel="0" collapsed="false">
      <c r="A5" s="31" t="s">
        <v>1400</v>
      </c>
      <c r="B5" s="31" t="s">
        <v>1401</v>
      </c>
      <c r="C5" s="31" t="s">
        <v>1402</v>
      </c>
    </row>
    <row r="6" customFormat="false" ht="69.75" hidden="false" customHeight="true" outlineLevel="0" collapsed="false">
      <c r="A6" s="30" t="s">
        <v>1403</v>
      </c>
      <c r="B6" s="30" t="s">
        <v>1404</v>
      </c>
      <c r="C6" s="30" t="s">
        <v>1405</v>
      </c>
    </row>
    <row r="7" customFormat="false" ht="69.75" hidden="false" customHeight="true" outlineLevel="0" collapsed="false">
      <c r="A7" s="31" t="s">
        <v>1406</v>
      </c>
      <c r="B7" s="31" t="s">
        <v>1407</v>
      </c>
      <c r="C7" s="31" t="s">
        <v>1408</v>
      </c>
    </row>
    <row r="8" customFormat="false" ht="69.75" hidden="false" customHeight="true" outlineLevel="0" collapsed="false">
      <c r="A8" s="30" t="s">
        <v>1409</v>
      </c>
      <c r="B8" s="30" t="s">
        <v>1410</v>
      </c>
      <c r="C8" s="30" t="s">
        <v>1411</v>
      </c>
    </row>
    <row r="9" customFormat="false" ht="69.75" hidden="false" customHeight="true" outlineLevel="0" collapsed="false">
      <c r="A9" s="31" t="s">
        <v>1412</v>
      </c>
      <c r="B9" s="31" t="s">
        <v>1413</v>
      </c>
      <c r="C9" s="31" t="s">
        <v>1414</v>
      </c>
    </row>
    <row r="10" customFormat="false" ht="69.75" hidden="false" customHeight="true" outlineLevel="0" collapsed="false">
      <c r="A10" s="30" t="s">
        <v>1415</v>
      </c>
      <c r="B10" s="30" t="s">
        <v>1416</v>
      </c>
      <c r="C10" s="30" t="s">
        <v>1417</v>
      </c>
    </row>
    <row r="11" customFormat="false" ht="69.75" hidden="false" customHeight="true" outlineLevel="0" collapsed="false">
      <c r="A11" s="31" t="s">
        <v>1418</v>
      </c>
      <c r="B11" s="31" t="s">
        <v>1419</v>
      </c>
      <c r="C11" s="31" t="s">
        <v>1420</v>
      </c>
    </row>
    <row r="12" customFormat="false" ht="69.75" hidden="false" customHeight="true" outlineLevel="0" collapsed="false">
      <c r="A12" s="30" t="s">
        <v>1421</v>
      </c>
      <c r="B12" s="30" t="s">
        <v>1422</v>
      </c>
      <c r="C12" s="30" t="s">
        <v>1423</v>
      </c>
    </row>
    <row r="14" customFormat="false" ht="14.25" hidden="false" customHeight="true" outlineLevel="0" collapsed="false">
      <c r="A14" s="72" t="s">
        <v>1424</v>
      </c>
    </row>
    <row r="15" customFormat="false" ht="14.25" hidden="false" customHeight="true" outlineLevel="0" collapsed="false">
      <c r="A15" s="72" t="s">
        <v>1394</v>
      </c>
      <c r="B15" s="72" t="s">
        <v>1395</v>
      </c>
      <c r="C15" s="72" t="s">
        <v>1396</v>
      </c>
    </row>
    <row r="16" customFormat="false" ht="60" hidden="false" customHeight="true" outlineLevel="0" collapsed="false">
      <c r="A16" s="1" t="s">
        <v>1425</v>
      </c>
      <c r="B16" s="73" t="s">
        <v>1426</v>
      </c>
      <c r="C16" s="73" t="s">
        <v>1427</v>
      </c>
    </row>
    <row r="17" customFormat="false" ht="60" hidden="false" customHeight="true" outlineLevel="0" collapsed="false">
      <c r="A17" s="1" t="s">
        <v>1428</v>
      </c>
      <c r="B17" s="73" t="s">
        <v>1429</v>
      </c>
      <c r="C17" s="73" t="s">
        <v>1430</v>
      </c>
    </row>
    <row r="18" customFormat="false" ht="60" hidden="false" customHeight="true" outlineLevel="0" collapsed="false">
      <c r="A18" s="1" t="s">
        <v>1431</v>
      </c>
      <c r="B18" s="73" t="s">
        <v>1432</v>
      </c>
      <c r="C18" s="73" t="s">
        <v>1433</v>
      </c>
    </row>
    <row r="19" customFormat="false" ht="60" hidden="false" customHeight="true" outlineLevel="0" collapsed="false">
      <c r="A19" s="1" t="s">
        <v>1434</v>
      </c>
      <c r="B19" s="73" t="s">
        <v>1435</v>
      </c>
      <c r="C19" s="73" t="s">
        <v>1436</v>
      </c>
    </row>
    <row r="20" customFormat="false" ht="60" hidden="false" customHeight="true" outlineLevel="0" collapsed="false">
      <c r="A20" s="1" t="s">
        <v>1437</v>
      </c>
      <c r="B20" s="73" t="s">
        <v>1438</v>
      </c>
      <c r="C20" s="73" t="s">
        <v>1439</v>
      </c>
    </row>
    <row r="21" customFormat="false" ht="60" hidden="false" customHeight="true" outlineLevel="0" collapsed="false">
      <c r="A21" s="1" t="s">
        <v>1440</v>
      </c>
      <c r="B21" s="73" t="s">
        <v>1441</v>
      </c>
      <c r="C21" s="73" t="s">
        <v>1442</v>
      </c>
    </row>
    <row r="23" customFormat="false" ht="14.25" hidden="false" customHeight="true" outlineLevel="0" collapsed="false">
      <c r="A23" s="72" t="s">
        <v>1443</v>
      </c>
    </row>
    <row r="24" customFormat="false" ht="14.25" hidden="false" customHeight="true" outlineLevel="0" collapsed="false">
      <c r="A24" s="72" t="s">
        <v>1394</v>
      </c>
      <c r="B24" s="72" t="s">
        <v>1395</v>
      </c>
      <c r="C24" s="72" t="s">
        <v>1396</v>
      </c>
    </row>
    <row r="25" customFormat="false" ht="75" hidden="false" customHeight="true" outlineLevel="0" collapsed="false">
      <c r="A25" s="1" t="s">
        <v>1444</v>
      </c>
      <c r="B25" s="73" t="s">
        <v>1445</v>
      </c>
      <c r="C25" s="73" t="s">
        <v>1446</v>
      </c>
    </row>
    <row r="26" customFormat="false" ht="75" hidden="false" customHeight="true" outlineLevel="0" collapsed="false">
      <c r="A26" s="1" t="s">
        <v>1447</v>
      </c>
      <c r="B26" s="73" t="s">
        <v>1448</v>
      </c>
      <c r="C26" s="73" t="s">
        <v>1449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2026-09-16T01:28:38Z</dcterms:created>
  <dc:creator>openpyxl</dc:creator>
  <dc:description/>
  <dc:language>en-US</dc:language>
  <cp:lastModifiedBy/>
  <dcterms:modified xsi:type="dcterms:W3CDTF">2026-09-19T18:21:42Z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